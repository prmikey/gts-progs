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gtsts-my.sharepoint.com/personal/miguel_perez_gts-ts_com/Documents/Documents/"/>
    </mc:Choice>
  </mc:AlternateContent>
  <xr:revisionPtr revIDLastSave="2081" documentId="8_{E2F7630C-B1A7-4E10-A06C-9B55FC4EF8B9}" xr6:coauthVersionLast="47" xr6:coauthVersionMax="47" xr10:uidLastSave="{66FDCB67-BF9E-4B19-A02A-16B0E2EAFB5E}"/>
  <bookViews>
    <workbookView xWindow="13550" yWindow="0" windowWidth="24940" windowHeight="20970" xr2:uid="{E1E33DA6-9D83-40AA-B157-ABB07A61752F}"/>
  </bookViews>
  <sheets>
    <sheet name="CSV Export" sheetId="1" r:id="rId1"/>
    <sheet name="Template Data" sheetId="2" r:id="rId2"/>
    <sheet name="Sheet2" sheetId="4" r:id="rId3"/>
  </sheets>
  <definedNames>
    <definedName name="_xlnm._FilterDatabase" localSheetId="0" hidden="1">'CSV Export'!#REF!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3" i="4"/>
  <c r="F2" i="4"/>
</calcChain>
</file>

<file path=xl/sharedStrings.xml><?xml version="1.0" encoding="utf-8"?>
<sst xmlns="http://schemas.openxmlformats.org/spreadsheetml/2006/main" count="948" uniqueCount="240">
  <si>
    <t>Internal ID</t>
  </si>
  <si>
    <t>Company</t>
  </si>
  <si>
    <t>Service Board</t>
  </si>
  <si>
    <t>Asset ID</t>
  </si>
  <si>
    <t>Serial Number</t>
  </si>
  <si>
    <t>Customer Name</t>
  </si>
  <si>
    <t>Subject</t>
  </si>
  <si>
    <t>Assigned To</t>
  </si>
  <si>
    <t>Contact</t>
  </si>
  <si>
    <t>In Facility Location</t>
  </si>
  <si>
    <t>Device Type</t>
  </si>
  <si>
    <t>PC Information</t>
  </si>
  <si>
    <t>Pickup Date</t>
  </si>
  <si>
    <t>Bin #</t>
  </si>
  <si>
    <t>Warranty Expiration</t>
  </si>
  <si>
    <t>Repair status</t>
  </si>
  <si>
    <t>Repair type</t>
  </si>
  <si>
    <t>Reason</t>
  </si>
  <si>
    <t>1006 GTS Internal : GTS - Break/Fix - OEM Reimbursements</t>
  </si>
  <si>
    <t>GTS Break/Fix</t>
  </si>
  <si>
    <t>T59537</t>
  </si>
  <si>
    <t>MP25KBY9</t>
  </si>
  <si>
    <t xml:space="preserve">  Humble ISD</t>
  </si>
  <si>
    <t>434 GTS Internal : 1006 GTS - Break/Fix - OEM Reimbursements : Humble ISD Break/Fix</t>
  </si>
  <si>
    <t>North Gessner : Humble ISD (BF)</t>
  </si>
  <si>
    <t>Laptop</t>
  </si>
  <si>
    <t>Lenovo 300E G3</t>
  </si>
  <si>
    <t>S1:C1</t>
  </si>
  <si>
    <t>2026-11-03</t>
  </si>
  <si>
    <t>T59673</t>
  </si>
  <si>
    <t>MP25FRAT</t>
  </si>
  <si>
    <t>T66038</t>
  </si>
  <si>
    <t>PF3ZPRES</t>
  </si>
  <si>
    <t>Lenovo 500E G3</t>
  </si>
  <si>
    <t>2027-01-27</t>
  </si>
  <si>
    <t>T107963</t>
  </si>
  <si>
    <t>PF4Y6RYZ</t>
  </si>
  <si>
    <t>2028-11-12</t>
  </si>
  <si>
    <t>T64389</t>
  </si>
  <si>
    <t>PF407R44</t>
  </si>
  <si>
    <t>2027-01-25</t>
  </si>
  <si>
    <t>T66218</t>
  </si>
  <si>
    <t>PF40132Y</t>
  </si>
  <si>
    <t>S1:C2</t>
  </si>
  <si>
    <t>T114863</t>
  </si>
  <si>
    <t>PF50HM9S</t>
  </si>
  <si>
    <t>2028-12-18</t>
  </si>
  <si>
    <t>T110127</t>
  </si>
  <si>
    <t>PF4YTBXZ</t>
  </si>
  <si>
    <t>2028-10-29</t>
  </si>
  <si>
    <t>T110331</t>
  </si>
  <si>
    <t>PF4Y6GP7</t>
  </si>
  <si>
    <t>T108243</t>
  </si>
  <si>
    <t>PF4YC4LP</t>
  </si>
  <si>
    <t>T61687</t>
  </si>
  <si>
    <t>MP255CT1</t>
  </si>
  <si>
    <t>S1:C3</t>
  </si>
  <si>
    <t>T59796</t>
  </si>
  <si>
    <t>MP25L7HT</t>
  </si>
  <si>
    <t>T59789</t>
  </si>
  <si>
    <t>MP25AD93</t>
  </si>
  <si>
    <t>T59593</t>
  </si>
  <si>
    <t>MP25ALCA</t>
  </si>
  <si>
    <t>T61570</t>
  </si>
  <si>
    <t>MP25ADNT</t>
  </si>
  <si>
    <t>T63269</t>
  </si>
  <si>
    <t>PF407GRR</t>
  </si>
  <si>
    <t>S1:C4</t>
  </si>
  <si>
    <t>T62276</t>
  </si>
  <si>
    <t>PF408NR2</t>
  </si>
  <si>
    <t>T64635</t>
  </si>
  <si>
    <t>PF408YN0</t>
  </si>
  <si>
    <t>T61625</t>
  </si>
  <si>
    <t>MP255Q7A</t>
  </si>
  <si>
    <t>T111995</t>
  </si>
  <si>
    <t>PF50Q4Q0</t>
  </si>
  <si>
    <t>2028-12-24</t>
  </si>
  <si>
    <t>T104398</t>
  </si>
  <si>
    <t>PF4EH3KA</t>
  </si>
  <si>
    <t>S1:C5</t>
  </si>
  <si>
    <t>2028-01-24</t>
  </si>
  <si>
    <t>T62676</t>
  </si>
  <si>
    <t>PF3ZQ05G</t>
  </si>
  <si>
    <t>T120854</t>
  </si>
  <si>
    <t>PF5CK5VC</t>
  </si>
  <si>
    <t>Lenovo 500E G4S</t>
  </si>
  <si>
    <t>2029-10-03</t>
  </si>
  <si>
    <t>T63068</t>
  </si>
  <si>
    <t>PF3ZPDQW</t>
  </si>
  <si>
    <t>T120717</t>
  </si>
  <si>
    <t>PF5CKQS5</t>
  </si>
  <si>
    <t>T104422</t>
  </si>
  <si>
    <t>PF4EFYN4</t>
  </si>
  <si>
    <t>S1:C6</t>
  </si>
  <si>
    <t>T64166</t>
  </si>
  <si>
    <t>PF4097E0</t>
  </si>
  <si>
    <t>T64582</t>
  </si>
  <si>
    <t>PF404GEZ</t>
  </si>
  <si>
    <t>T104640</t>
  </si>
  <si>
    <t>PF4EHRC1</t>
  </si>
  <si>
    <t>T109440</t>
  </si>
  <si>
    <t>PF4YF3HW</t>
  </si>
  <si>
    <t>2028-11-06</t>
  </si>
  <si>
    <t>T108134</t>
  </si>
  <si>
    <t>PF4Y7TD5</t>
  </si>
  <si>
    <t>S1:C7</t>
  </si>
  <si>
    <t>T119972</t>
  </si>
  <si>
    <t>PF5KB1PF</t>
  </si>
  <si>
    <t>2030-04-09</t>
  </si>
  <si>
    <t>T90638</t>
  </si>
  <si>
    <t>PF5KD93F</t>
  </si>
  <si>
    <t>2030-06-15</t>
  </si>
  <si>
    <t>T119964</t>
  </si>
  <si>
    <t>PF5K6T7P</t>
  </si>
  <si>
    <t>T122190</t>
  </si>
  <si>
    <t>PF5AKSEG</t>
  </si>
  <si>
    <t>2029-10-06</t>
  </si>
  <si>
    <t>T118572</t>
  </si>
  <si>
    <t>PF5KEREF</t>
  </si>
  <si>
    <t>S1:C8</t>
  </si>
  <si>
    <t>T109169</t>
  </si>
  <si>
    <t>PF4XCDSA</t>
  </si>
  <si>
    <t>T62467</t>
  </si>
  <si>
    <t>PF3ZQ42J</t>
  </si>
  <si>
    <t>T109294</t>
  </si>
  <si>
    <t>PF4YJSCN</t>
  </si>
  <si>
    <t>T105044</t>
  </si>
  <si>
    <t>PF4E3VTE</t>
  </si>
  <si>
    <t>2027-12-26</t>
  </si>
  <si>
    <t>T104955</t>
  </si>
  <si>
    <t>PF4E44YL</t>
  </si>
  <si>
    <t>S1:B1</t>
  </si>
  <si>
    <t>T104919</t>
  </si>
  <si>
    <t>PF4ER1PQ</t>
  </si>
  <si>
    <t>T115471</t>
  </si>
  <si>
    <t>PF50Q25X</t>
  </si>
  <si>
    <t>2028-12-26</t>
  </si>
  <si>
    <t>T106802</t>
  </si>
  <si>
    <t>PF4YFCC1</t>
  </si>
  <si>
    <t>T111820</t>
  </si>
  <si>
    <t>PF50P19R</t>
  </si>
  <si>
    <t>T59629</t>
  </si>
  <si>
    <t>MP25AFMG</t>
  </si>
  <si>
    <t>S1:B2</t>
  </si>
  <si>
    <t>T118692</t>
  </si>
  <si>
    <t>PF5KB1VG</t>
  </si>
  <si>
    <t>2030-04-12</t>
  </si>
  <si>
    <t>T112041</t>
  </si>
  <si>
    <t>PF50RVEL</t>
  </si>
  <si>
    <t>T112279</t>
  </si>
  <si>
    <t>PF50PWDC</t>
  </si>
  <si>
    <t>T61622</t>
  </si>
  <si>
    <t>MP255KPM</t>
  </si>
  <si>
    <t>T60582</t>
  </si>
  <si>
    <t>MP25AGDE</t>
  </si>
  <si>
    <t>S1:B3</t>
  </si>
  <si>
    <t>T59627</t>
  </si>
  <si>
    <t>MP25AEPV</t>
  </si>
  <si>
    <t>T60414</t>
  </si>
  <si>
    <t>MP255DA7</t>
  </si>
  <si>
    <t>n/a</t>
  </si>
  <si>
    <t>MP25AFQ4</t>
  </si>
  <si>
    <t>T59902</t>
  </si>
  <si>
    <t>MP255KQ4</t>
  </si>
  <si>
    <t>T59575</t>
  </si>
  <si>
    <t>MP25L9Z5</t>
  </si>
  <si>
    <t>S1:B5</t>
  </si>
  <si>
    <t>T59715</t>
  </si>
  <si>
    <t>MP25FR5V</t>
  </si>
  <si>
    <t>T59805</t>
  </si>
  <si>
    <t>MP25AHKQ</t>
  </si>
  <si>
    <t>T115899</t>
  </si>
  <si>
    <t>pf594rfk</t>
  </si>
  <si>
    <t>S1:C9</t>
  </si>
  <si>
    <t>2029-10-07</t>
  </si>
  <si>
    <t>t65098</t>
  </si>
  <si>
    <t>PF404K0S</t>
  </si>
  <si>
    <t>PF3ZRSAW</t>
  </si>
  <si>
    <t>t62800</t>
  </si>
  <si>
    <t>PF3ZRBKX</t>
  </si>
  <si>
    <t>t111994</t>
  </si>
  <si>
    <t>PF50E494</t>
  </si>
  <si>
    <t>t112019</t>
  </si>
  <si>
    <t>PF50P9YP</t>
  </si>
  <si>
    <t>S1:C10</t>
  </si>
  <si>
    <t>t115818</t>
  </si>
  <si>
    <t>PF594TR1</t>
  </si>
  <si>
    <t>t111522</t>
  </si>
  <si>
    <t>PF50P3LZ</t>
  </si>
  <si>
    <t>t105269</t>
  </si>
  <si>
    <t>PF4DV3E0</t>
  </si>
  <si>
    <t>2028-01-27</t>
  </si>
  <si>
    <t>t57738</t>
  </si>
  <si>
    <t>PF45MLMM</t>
  </si>
  <si>
    <t>2027-04-14</t>
  </si>
  <si>
    <t>t64985</t>
  </si>
  <si>
    <t>PF3ZQNWV</t>
  </si>
  <si>
    <t>S1:C11</t>
  </si>
  <si>
    <t>t63084</t>
  </si>
  <si>
    <t>PF3ZQ2E0</t>
  </si>
  <si>
    <t>t65012</t>
  </si>
  <si>
    <t>PF4014YY</t>
  </si>
  <si>
    <t>t106733</t>
  </si>
  <si>
    <t>PF4YFA2V</t>
  </si>
  <si>
    <t>t110879</t>
  </si>
  <si>
    <t>PF4YFCAY</t>
  </si>
  <si>
    <t>t112309</t>
  </si>
  <si>
    <t>PF50A94P</t>
  </si>
  <si>
    <t>S1:C12</t>
  </si>
  <si>
    <t>t111964</t>
  </si>
  <si>
    <t>PF50PR3Y</t>
  </si>
  <si>
    <t>t111965</t>
  </si>
  <si>
    <t>PF50PYXE</t>
  </si>
  <si>
    <t xml:space="preserve">  Klein ISD</t>
  </si>
  <si>
    <t>BFCT - 1007 Sean Thombs</t>
  </si>
  <si>
    <t>434 GTS Internal : 1006 GTS - Break/Fix - OEM Reimbursements : Klein Break Fix</t>
  </si>
  <si>
    <t>North Gessner : Klein ISD (BF)</t>
  </si>
  <si>
    <t>BFCT - 1008 Munthir Almilhim</t>
  </si>
  <si>
    <t xml:space="preserve">  Lake Travis ISD</t>
  </si>
  <si>
    <t>434 GTS Internal : 1006 GTS - Break/Fix - OEM Reimbursements : Lake Travis BF</t>
  </si>
  <si>
    <t>North Gessner : Lake Travis ISD (BF)</t>
  </si>
  <si>
    <t xml:space="preserve">  Tomball ISD</t>
  </si>
  <si>
    <t>434 GTS Internal : 1006 GTS - Break/Fix - OEM Reimbursements : Tomball Break Fix</t>
  </si>
  <si>
    <t>North Gessner : Tomball ISD (BF)</t>
  </si>
  <si>
    <t xml:space="preserve">  Spring ISD</t>
  </si>
  <si>
    <t>BFCT - 1011 Samuel Rojas</t>
  </si>
  <si>
    <t>434 GTS Internal : 1006 GTS - Break/Fix - OEM Reimbursements : Spring Break Fix</t>
  </si>
  <si>
    <t>North Gessner : Spring ISD (BF)</t>
  </si>
  <si>
    <t>900413 Miguel Perez</t>
  </si>
  <si>
    <t>BFCT - 1016 Jose Gonzalez</t>
  </si>
  <si>
    <t>900378 Alejandro Graham</t>
  </si>
  <si>
    <t>900373 Nam Duong</t>
  </si>
  <si>
    <t>BFCT - 1018 Travis Burden</t>
  </si>
  <si>
    <t>BFCT - 1019 John Rodriguez</t>
  </si>
  <si>
    <t>BFCT - 1006 John Perez</t>
  </si>
  <si>
    <t>Humble ISD B/F</t>
  </si>
  <si>
    <t>DELL 3100 2-IN-1</t>
  </si>
  <si>
    <t>S1:D7</t>
  </si>
  <si>
    <t>DELL 3100</t>
  </si>
  <si>
    <t>S1:D4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</si>
</sst>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"/>
      <family val="2"/>
    </font>
    <font>
      <sz val="12"/>
      <name val="Aptos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Protection="0"/>
  </cellStyleXfs>
  <cellXfs count="5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14" fontId="2" fillId="0" borderId="0" xfId="0" applyNumberFormat="1" applyFont="1"/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/>
    <xf numFmtId="0" fontId="2" fillId="3" borderId="3" xfId="0" applyFont="1" applyFill="1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3" fillId="4" borderId="3" xfId="0" applyFont="1" applyFill="1" applyBorder="1"/>
    <xf numFmtId="0" fontId="3" fillId="4" borderId="5" xfId="0" applyFont="1" applyFill="1" applyBorder="1"/>
    <xf numFmtId="0" fontId="2" fillId="3" borderId="5" xfId="0" applyFont="1" applyFill="1" applyBorder="1"/>
    <xf numFmtId="0" fontId="2" fillId="0" borderId="3" xfId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1" applyFont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2" xfId="1" applyNumberFormat="1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4" fontId="2" fillId="5" borderId="2" xfId="1" applyNumberFormat="1" applyFont="1" applyFill="1" applyBorder="1" applyAlignment="1">
      <alignment horizontal="center" vertical="center"/>
    </xf>
    <xf numFmtId="14" fontId="1" fillId="0" borderId="2" xfId="1" applyNumberFormat="1" applyFill="1" applyBorder="1" applyAlignment="1">
      <alignment horizontal="center" vertical="center"/>
    </xf>
    <xf numFmtId="14" fontId="1" fillId="5" borderId="2" xfId="1" applyNumberFormat="1" applyFill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6" xfId="1" applyFont="1" applyFill="1" applyBorder="1" applyAlignment="1">
      <alignment horizontal="center" vertical="center"/>
    </xf>
    <xf numFmtId="14" fontId="2" fillId="5" borderId="6" xfId="1" applyNumberFormat="1" applyFont="1" applyFill="1" applyBorder="1" applyAlignment="1">
      <alignment horizontal="center" vertical="center"/>
    </xf>
    <xf numFmtId="14" fontId="1" fillId="0" borderId="6" xfId="1" applyNumberFormat="1" applyFill="1" applyBorder="1" applyAlignment="1">
      <alignment horizontal="center" vertical="center"/>
    </xf>
    <xf numFmtId="14" fontId="1" fillId="5" borderId="6" xfId="1" applyNumberFormat="1" applyFill="1" applyBorder="1" applyAlignment="1">
      <alignment horizontal="center" vertical="center"/>
    </xf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0" fontId="6" fillId="0" borderId="0" xfId="0" applyFont="1" applyAlignment="1"/>
    <xf numFmtId="14" fontId="2" fillId="0" borderId="0" xfId="0" applyNumberFormat="1" applyFont="1" applyBorder="1" applyAlignment="1"/>
    <xf numFmtId="0" fontId="2" fillId="0" borderId="0" xfId="0" applyFont="1" applyBorder="1" applyAlignment="1"/>
    <xf numFmtId="0" fontId="1" fillId="0" borderId="2" xfId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1BC0B96C-5D8B-4989-9722-923E145B5F9B}"/>
  </cellStyles>
  <dxfs count="35">
    <dxf>
      <font>
        <color rgb="FFFF0000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numFmt numFmtId="19" formatCode="m/d/yyyy"/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color rgb="FFFF0000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DE993-56E8-4BC7-BA0D-8518D1DB598F}" name="Table1" displayName="Table1" ref="A1:R77" totalsRowShown="0" headerRowDxfId="27" dataDxfId="26">
  <autoFilter ref="A1:R77" xr:uid="{1D5DE993-56E8-4BC7-BA0D-8518D1DB598F}"/>
  <sortState xmlns:xlrd2="http://schemas.microsoft.com/office/spreadsheetml/2017/richdata2" ref="A2:R3">
    <sortCondition ref="O1:O3"/>
  </sortState>
  <tableColumns count="18">
    <tableColumn id="1" xr3:uid="{A0201FC6-1900-48E9-BFA4-377D0EE808B7}" name="Internal ID" dataDxfId="25"/>
    <tableColumn id="2" xr3:uid="{36E34A90-B0D6-4535-AF27-F1B64C888315}" name="Company" dataDxfId="24"/>
    <tableColumn id="3" xr3:uid="{0B69816A-DE43-4D95-9BFA-958668DF5A36}" name="Service Board" dataDxfId="23"/>
    <tableColumn id="4" xr3:uid="{8F13212A-5451-43DB-8E0B-B5AD2636754A}" name="Asset ID" dataDxfId="22" dataCellStyle="Normal 2"/>
    <tableColumn id="5" xr3:uid="{6B95A4B8-464E-4BB3-931B-D7E74C9A46D6}" name="Serial Number" dataDxfId="21" dataCellStyle="Normal 2"/>
    <tableColumn id="6" xr3:uid="{EAC5CA03-8C9C-4E51-988D-B94DDF1ADE8D}" name="Customer Name" dataDxfId="20"/>
    <tableColumn id="7" xr3:uid="{EFB3908C-38C4-4B12-AD3D-F1FDABF7A927}" name="Subject" dataDxfId="19">
      <calculatedColumnFormula>CONCATENATE(Table1[[#This Row],[Asset ID]], " ", Table1[[#This Row],[Serial Number]], " ",  Table1[[#This Row],[Customer Name]])</calculatedColumnFormula>
    </tableColumn>
    <tableColumn id="8" xr3:uid="{B38527B4-A584-4109-BBCA-882367DBCE8D}" name="Assigned To" dataDxfId="18"/>
    <tableColumn id="9" xr3:uid="{AB28E329-990A-4B92-A610-1CA36C73B3FC}" name="Contact" dataDxfId="17"/>
    <tableColumn id="13" xr3:uid="{B1176F84-9C77-4635-87B1-10BE2521078A}" name="In Facility Location" dataDxfId="16"/>
    <tableColumn id="10" xr3:uid="{7C530C93-17FC-43C6-A2E9-6234B01A0FC7}" name="Device Type" dataDxfId="15"/>
    <tableColumn id="11" xr3:uid="{021D7613-AB9F-4AB6-934A-B3A99D3A83BF}" name="PC Information" dataDxfId="14" dataCellStyle="Normal 2"/>
    <tableColumn id="12" xr3:uid="{9940ACCA-A2B3-4786-9D12-CB3564276C13}" name="Pickup Date" dataDxfId="13" dataCellStyle="Normal 2"/>
    <tableColumn id="14" xr3:uid="{0C1B3EA3-9372-4A9C-B23C-EA3BC7BE8A54}" name="Bin #" dataDxfId="12" dataCellStyle="Normal 2"/>
    <tableColumn id="15" xr3:uid="{5E48F452-B90E-4A65-B9AD-E943570AB420}" name="Warranty Expiration" dataDxfId="11" dataCellStyle="Normal 2"/>
    <tableColumn id="16" xr3:uid="{266C0946-F4EE-4DFB-9B9E-D5BC6ABDA333}" name="Repair status" dataDxfId="10"/>
    <tableColumn id="17" xr3:uid="{38F9218E-BF3A-49B5-831B-B2A05D5B29BE}" name="Repair type" dataDxfId="9"/>
    <tableColumn id="18" xr3:uid="{B011EC03-5CFF-4303-9E35-941D824F41B3}" name="Reaso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233-B6D4-49C8-8BBC-CE3166DAB1C0}">
  <dimension ref="A1:R173"/>
  <sheetViews>
    <sheetView tabSelected="1" topLeftCell="H33" zoomScale="70" zoomScaleNormal="70" workbookViewId="0">
      <selection activeCell="K3" sqref="K3:K77"/>
    </sheetView>
  </sheetViews>
  <sheetFormatPr defaultColWidth="8.7109375" defaultRowHeight="15.95"/>
  <cols>
    <col min="1" max="1" width="14.140625" style="1" bestFit="1" customWidth="1"/>
    <col min="2" max="2" width="18.5703125" style="1" customWidth="1"/>
    <col min="3" max="3" width="15.42578125" style="1" customWidth="1"/>
    <col min="4" max="4" width="12.28515625" style="1" customWidth="1"/>
    <col min="5" max="5" width="16.140625" style="1" customWidth="1"/>
    <col min="6" max="6" width="17.85546875" style="1" customWidth="1"/>
    <col min="7" max="7" width="36.5703125" style="1" customWidth="1"/>
    <col min="8" max="8" width="23.85546875" style="1" bestFit="1" customWidth="1"/>
    <col min="9" max="9" width="41.28515625" style="1" customWidth="1"/>
    <col min="10" max="10" width="26.42578125" style="1" bestFit="1" customWidth="1"/>
    <col min="11" max="11" width="14" style="9" customWidth="1"/>
    <col min="12" max="12" width="22.5703125" style="1" bestFit="1" customWidth="1"/>
    <col min="13" max="13" width="13.5703125" style="1" customWidth="1"/>
    <col min="14" max="14" width="14" bestFit="1" customWidth="1"/>
    <col min="15" max="15" width="12.42578125" style="9" bestFit="1" customWidth="1"/>
    <col min="16" max="16" width="20.85546875" style="1" customWidth="1"/>
    <col min="17" max="17" width="14.85546875" style="1" customWidth="1"/>
    <col min="18" max="18" width="13.28515625" style="1" customWidth="1"/>
    <col min="19" max="19" width="9.7109375" style="1" customWidth="1"/>
    <col min="20" max="16384" width="8.7109375" style="1"/>
  </cols>
  <sheetData>
    <row r="1" spans="1:1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0" t="s">
        <v>10</v>
      </c>
      <c r="L1" s="3" t="s">
        <v>11</v>
      </c>
      <c r="M1" s="3" t="s">
        <v>12</v>
      </c>
      <c r="N1" s="8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t="15.75">
      <c r="A2" s="32"/>
      <c r="B2" s="49" t="s">
        <v>18</v>
      </c>
      <c r="C2" s="49" t="s">
        <v>19</v>
      </c>
      <c r="D2" s="36" t="s">
        <v>20</v>
      </c>
      <c r="E2" s="37" t="s">
        <v>21</v>
      </c>
      <c r="F2" s="49" t="s">
        <v>22</v>
      </c>
      <c r="G2" s="50" t="str">
        <f>CONCATENATE(Table1[[#This Row],[Asset ID]], " ", Table1[[#This Row],[Serial Number]], " ",  Table1[[#This Row],[Customer Name]])</f>
        <v>T59537 MP25KBY9   Humble ISD</v>
      </c>
      <c r="H2" s="49"/>
      <c r="I2" s="49" t="s">
        <v>23</v>
      </c>
      <c r="J2" s="49" t="s">
        <v>24</v>
      </c>
      <c r="K2" s="11" t="s">
        <v>25</v>
      </c>
      <c r="L2" s="35" t="s">
        <v>26</v>
      </c>
      <c r="M2" s="38">
        <v>46175</v>
      </c>
      <c r="N2" s="55" t="s">
        <v>27</v>
      </c>
      <c r="O2" s="38" t="s">
        <v>28</v>
      </c>
      <c r="P2" s="51"/>
      <c r="Q2" s="51"/>
      <c r="R2" s="51"/>
    </row>
    <row r="3" spans="1:18" ht="15.75">
      <c r="A3" s="32"/>
      <c r="B3" s="49" t="s">
        <v>18</v>
      </c>
      <c r="C3" s="49" t="s">
        <v>19</v>
      </c>
      <c r="D3" s="36" t="s">
        <v>29</v>
      </c>
      <c r="E3" s="37" t="s">
        <v>30</v>
      </c>
      <c r="F3" s="49" t="s">
        <v>22</v>
      </c>
      <c r="G3" s="50" t="str">
        <f>CONCATENATE(Table1[[#This Row],[Asset ID]], " ", Table1[[#This Row],[Serial Number]], " ",  Table1[[#This Row],[Customer Name]])</f>
        <v>T59673 MP25FRAT   Humble ISD</v>
      </c>
      <c r="H3" s="49"/>
      <c r="I3" s="49" t="s">
        <v>23</v>
      </c>
      <c r="J3" s="49" t="s">
        <v>24</v>
      </c>
      <c r="K3" s="11" t="s">
        <v>25</v>
      </c>
      <c r="L3" s="35" t="s">
        <v>26</v>
      </c>
      <c r="M3" s="38">
        <v>46175</v>
      </c>
      <c r="N3" s="55" t="s">
        <v>27</v>
      </c>
      <c r="O3" s="38" t="s">
        <v>28</v>
      </c>
      <c r="P3" s="51"/>
      <c r="Q3" s="51"/>
      <c r="R3" s="51"/>
    </row>
    <row r="4" spans="1:18" ht="15.75">
      <c r="A4" s="33"/>
      <c r="B4" s="49" t="s">
        <v>18</v>
      </c>
      <c r="C4" s="49" t="s">
        <v>19</v>
      </c>
      <c r="D4" s="36" t="s">
        <v>31</v>
      </c>
      <c r="E4" s="37" t="s">
        <v>32</v>
      </c>
      <c r="F4" s="49" t="s">
        <v>22</v>
      </c>
      <c r="G4" s="50" t="str">
        <f>CONCATENATE(Table1[[#This Row],[Asset ID]], " ", Table1[[#This Row],[Serial Number]], " ",  Table1[[#This Row],[Customer Name]])</f>
        <v>T66038 PF3ZPRES   Humble ISD</v>
      </c>
      <c r="H4" s="49"/>
      <c r="I4" s="49" t="s">
        <v>23</v>
      </c>
      <c r="J4" s="49" t="s">
        <v>24</v>
      </c>
      <c r="K4" s="11" t="s">
        <v>25</v>
      </c>
      <c r="L4" s="35" t="s">
        <v>33</v>
      </c>
      <c r="M4" s="38">
        <v>46175</v>
      </c>
      <c r="N4" s="55" t="s">
        <v>27</v>
      </c>
      <c r="O4" s="38" t="s">
        <v>34</v>
      </c>
      <c r="P4" s="51"/>
      <c r="Q4" s="51"/>
      <c r="R4" s="51"/>
    </row>
    <row r="5" spans="1:18" ht="15.75">
      <c r="A5" s="33"/>
      <c r="B5" s="49" t="s">
        <v>18</v>
      </c>
      <c r="C5" s="49" t="s">
        <v>19</v>
      </c>
      <c r="D5" s="36" t="s">
        <v>35</v>
      </c>
      <c r="E5" s="37" t="s">
        <v>36</v>
      </c>
      <c r="F5" s="49" t="s">
        <v>22</v>
      </c>
      <c r="G5" s="50" t="str">
        <f>CONCATENATE(Table1[[#This Row],[Asset ID]], " ", Table1[[#This Row],[Serial Number]], " ",  Table1[[#This Row],[Customer Name]])</f>
        <v>T107963 PF4Y6RYZ   Humble ISD</v>
      </c>
      <c r="H5" s="49"/>
      <c r="I5" s="49" t="s">
        <v>23</v>
      </c>
      <c r="J5" s="49" t="s">
        <v>24</v>
      </c>
      <c r="K5" s="11" t="s">
        <v>25</v>
      </c>
      <c r="L5" s="35" t="s">
        <v>33</v>
      </c>
      <c r="M5" s="38">
        <v>46175</v>
      </c>
      <c r="N5" s="55" t="s">
        <v>27</v>
      </c>
      <c r="O5" s="38" t="s">
        <v>37</v>
      </c>
      <c r="P5" s="51"/>
      <c r="Q5" s="51"/>
      <c r="R5" s="51"/>
    </row>
    <row r="6" spans="1:18" ht="15.75">
      <c r="A6" s="33"/>
      <c r="B6" s="49" t="s">
        <v>18</v>
      </c>
      <c r="C6" s="49" t="s">
        <v>19</v>
      </c>
      <c r="D6" s="36" t="s">
        <v>38</v>
      </c>
      <c r="E6" s="37" t="s">
        <v>39</v>
      </c>
      <c r="F6" s="49" t="s">
        <v>22</v>
      </c>
      <c r="G6" s="50" t="str">
        <f>CONCATENATE(Table1[[#This Row],[Asset ID]], " ", Table1[[#This Row],[Serial Number]], " ",  Table1[[#This Row],[Customer Name]])</f>
        <v>T64389 PF407R44   Humble ISD</v>
      </c>
      <c r="H6" s="49"/>
      <c r="I6" s="49" t="s">
        <v>23</v>
      </c>
      <c r="J6" s="49" t="s">
        <v>24</v>
      </c>
      <c r="K6" s="11" t="s">
        <v>25</v>
      </c>
      <c r="L6" s="35" t="s">
        <v>33</v>
      </c>
      <c r="M6" s="38">
        <v>46175</v>
      </c>
      <c r="N6" s="55" t="s">
        <v>27</v>
      </c>
      <c r="O6" s="38" t="s">
        <v>40</v>
      </c>
      <c r="P6" s="51"/>
      <c r="Q6" s="51"/>
      <c r="R6" s="51"/>
    </row>
    <row r="7" spans="1:18" ht="15.75">
      <c r="A7" s="33"/>
      <c r="B7" s="49" t="s">
        <v>18</v>
      </c>
      <c r="C7" s="49" t="s">
        <v>19</v>
      </c>
      <c r="D7" s="36" t="s">
        <v>41</v>
      </c>
      <c r="E7" s="37" t="s">
        <v>42</v>
      </c>
      <c r="F7" s="49" t="s">
        <v>22</v>
      </c>
      <c r="G7" s="50" t="str">
        <f>CONCATENATE(Table1[[#This Row],[Asset ID]], " ", Table1[[#This Row],[Serial Number]], " ",  Table1[[#This Row],[Customer Name]])</f>
        <v>T66218 PF40132Y   Humble ISD</v>
      </c>
      <c r="H7" s="49"/>
      <c r="I7" s="49" t="s">
        <v>23</v>
      </c>
      <c r="J7" s="49" t="s">
        <v>24</v>
      </c>
      <c r="K7" s="11" t="s">
        <v>25</v>
      </c>
      <c r="L7" s="35" t="s">
        <v>33</v>
      </c>
      <c r="M7" s="38">
        <v>46175</v>
      </c>
      <c r="N7" s="55" t="s">
        <v>43</v>
      </c>
      <c r="O7" s="38" t="s">
        <v>40</v>
      </c>
      <c r="P7" s="51"/>
      <c r="Q7" s="51"/>
      <c r="R7" s="51"/>
    </row>
    <row r="8" spans="1:18" ht="15.75">
      <c r="A8" s="33"/>
      <c r="B8" s="49" t="s">
        <v>18</v>
      </c>
      <c r="C8" s="49" t="s">
        <v>19</v>
      </c>
      <c r="D8" s="36" t="s">
        <v>44</v>
      </c>
      <c r="E8" s="37" t="s">
        <v>45</v>
      </c>
      <c r="F8" s="49" t="s">
        <v>22</v>
      </c>
      <c r="G8" s="50" t="str">
        <f>CONCATENATE(Table1[[#This Row],[Asset ID]], " ", Table1[[#This Row],[Serial Number]], " ",  Table1[[#This Row],[Customer Name]])</f>
        <v>T114863 PF50HM9S   Humble ISD</v>
      </c>
      <c r="H8" s="49"/>
      <c r="I8" s="49" t="s">
        <v>23</v>
      </c>
      <c r="J8" s="49" t="s">
        <v>24</v>
      </c>
      <c r="K8" s="11" t="s">
        <v>25</v>
      </c>
      <c r="L8" s="35" t="s">
        <v>33</v>
      </c>
      <c r="M8" s="38">
        <v>46175</v>
      </c>
      <c r="N8" s="55" t="s">
        <v>43</v>
      </c>
      <c r="O8" s="38" t="s">
        <v>46</v>
      </c>
      <c r="P8" s="51"/>
      <c r="Q8" s="51"/>
      <c r="R8" s="51"/>
    </row>
    <row r="9" spans="1:18" ht="15.75">
      <c r="A9" s="33"/>
      <c r="B9" s="49" t="s">
        <v>18</v>
      </c>
      <c r="C9" s="49" t="s">
        <v>19</v>
      </c>
      <c r="D9" s="36" t="s">
        <v>47</v>
      </c>
      <c r="E9" s="37" t="s">
        <v>48</v>
      </c>
      <c r="F9" s="49" t="s">
        <v>22</v>
      </c>
      <c r="G9" s="50" t="str">
        <f>CONCATENATE(Table1[[#This Row],[Asset ID]], " ", Table1[[#This Row],[Serial Number]], " ",  Table1[[#This Row],[Customer Name]])</f>
        <v>T110127 PF4YTBXZ   Humble ISD</v>
      </c>
      <c r="H9" s="49"/>
      <c r="I9" s="49" t="s">
        <v>23</v>
      </c>
      <c r="J9" s="49" t="s">
        <v>24</v>
      </c>
      <c r="K9" s="11" t="s">
        <v>25</v>
      </c>
      <c r="L9" s="35" t="s">
        <v>33</v>
      </c>
      <c r="M9" s="38">
        <v>46175</v>
      </c>
      <c r="N9" s="55" t="s">
        <v>43</v>
      </c>
      <c r="O9" s="38" t="s">
        <v>49</v>
      </c>
      <c r="P9" s="51"/>
      <c r="Q9" s="51"/>
      <c r="R9" s="51"/>
    </row>
    <row r="10" spans="1:18" ht="15.75">
      <c r="A10" s="33"/>
      <c r="B10" s="49" t="s">
        <v>18</v>
      </c>
      <c r="C10" s="49" t="s">
        <v>19</v>
      </c>
      <c r="D10" s="36" t="s">
        <v>50</v>
      </c>
      <c r="E10" s="37" t="s">
        <v>51</v>
      </c>
      <c r="F10" s="49" t="s">
        <v>22</v>
      </c>
      <c r="G10" s="50" t="str">
        <f>CONCATENATE(Table1[[#This Row],[Asset ID]], " ", Table1[[#This Row],[Serial Number]], " ",  Table1[[#This Row],[Customer Name]])</f>
        <v>T110331 PF4Y6GP7   Humble ISD</v>
      </c>
      <c r="H10" s="49"/>
      <c r="I10" s="49" t="s">
        <v>23</v>
      </c>
      <c r="J10" s="49" t="s">
        <v>24</v>
      </c>
      <c r="K10" s="11" t="s">
        <v>25</v>
      </c>
      <c r="L10" s="35" t="s">
        <v>33</v>
      </c>
      <c r="M10" s="38">
        <v>46175</v>
      </c>
      <c r="N10" s="55" t="s">
        <v>43</v>
      </c>
      <c r="O10" s="38" t="s">
        <v>49</v>
      </c>
      <c r="P10" s="51"/>
      <c r="Q10" s="51"/>
      <c r="R10" s="51"/>
    </row>
    <row r="11" spans="1:18" ht="15.75">
      <c r="A11" s="33"/>
      <c r="B11" s="49" t="s">
        <v>18</v>
      </c>
      <c r="C11" s="49" t="s">
        <v>19</v>
      </c>
      <c r="D11" s="36" t="s">
        <v>52</v>
      </c>
      <c r="E11" s="37" t="s">
        <v>53</v>
      </c>
      <c r="F11" s="49" t="s">
        <v>22</v>
      </c>
      <c r="G11" s="50" t="str">
        <f>CONCATENATE(Table1[[#This Row],[Asset ID]], " ", Table1[[#This Row],[Serial Number]], " ",  Table1[[#This Row],[Customer Name]])</f>
        <v>T108243 PF4YC4LP   Humble ISD</v>
      </c>
      <c r="H11" s="49"/>
      <c r="I11" s="49" t="s">
        <v>23</v>
      </c>
      <c r="J11" s="49" t="s">
        <v>24</v>
      </c>
      <c r="K11" s="11" t="s">
        <v>25</v>
      </c>
      <c r="L11" s="35" t="s">
        <v>33</v>
      </c>
      <c r="M11" s="38">
        <v>46175</v>
      </c>
      <c r="N11" s="55" t="s">
        <v>43</v>
      </c>
      <c r="O11" s="38" t="s">
        <v>49</v>
      </c>
      <c r="P11" s="51"/>
      <c r="Q11" s="51"/>
      <c r="R11" s="51"/>
    </row>
    <row r="12" spans="1:18" ht="15.75">
      <c r="A12" s="33"/>
      <c r="B12" s="49" t="s">
        <v>18</v>
      </c>
      <c r="C12" s="49" t="s">
        <v>19</v>
      </c>
      <c r="D12" s="34" t="s">
        <v>54</v>
      </c>
      <c r="E12" s="37" t="s">
        <v>55</v>
      </c>
      <c r="F12" s="49" t="s">
        <v>22</v>
      </c>
      <c r="G12" s="50" t="str">
        <f>CONCATENATE(Table1[[#This Row],[Asset ID]], " ", Table1[[#This Row],[Serial Number]], " ",  Table1[[#This Row],[Customer Name]])</f>
        <v>T61687 MP255CT1   Humble ISD</v>
      </c>
      <c r="H12" s="49"/>
      <c r="I12" s="49" t="s">
        <v>23</v>
      </c>
      <c r="J12" s="49" t="s">
        <v>24</v>
      </c>
      <c r="K12" s="11" t="s">
        <v>25</v>
      </c>
      <c r="L12" s="35" t="s">
        <v>26</v>
      </c>
      <c r="M12" s="38">
        <v>46175</v>
      </c>
      <c r="N12" s="55" t="s">
        <v>56</v>
      </c>
      <c r="O12" s="38" t="s">
        <v>28</v>
      </c>
      <c r="P12" s="51"/>
      <c r="Q12" s="51"/>
      <c r="R12" s="51"/>
    </row>
    <row r="13" spans="1:18" ht="15.75">
      <c r="A13" s="33"/>
      <c r="B13" s="49" t="s">
        <v>18</v>
      </c>
      <c r="C13" s="49" t="s">
        <v>19</v>
      </c>
      <c r="D13" s="34" t="s">
        <v>57</v>
      </c>
      <c r="E13" s="37" t="s">
        <v>58</v>
      </c>
      <c r="F13" s="49" t="s">
        <v>22</v>
      </c>
      <c r="G13" s="50" t="str">
        <f>CONCATENATE(Table1[[#This Row],[Asset ID]], " ", Table1[[#This Row],[Serial Number]], " ",  Table1[[#This Row],[Customer Name]])</f>
        <v>T59796 MP25L7HT   Humble ISD</v>
      </c>
      <c r="H13" s="49"/>
      <c r="I13" s="49" t="s">
        <v>23</v>
      </c>
      <c r="J13" s="49" t="s">
        <v>24</v>
      </c>
      <c r="K13" s="11" t="s">
        <v>25</v>
      </c>
      <c r="L13" s="35" t="s">
        <v>26</v>
      </c>
      <c r="M13" s="38">
        <v>46175</v>
      </c>
      <c r="N13" s="55" t="s">
        <v>56</v>
      </c>
      <c r="O13" s="38" t="s">
        <v>28</v>
      </c>
      <c r="P13" s="51"/>
      <c r="Q13" s="51"/>
      <c r="R13" s="51"/>
    </row>
    <row r="14" spans="1:18" ht="15.75">
      <c r="A14" s="33"/>
      <c r="B14" s="49" t="s">
        <v>18</v>
      </c>
      <c r="C14" s="49" t="s">
        <v>19</v>
      </c>
      <c r="D14" s="34" t="s">
        <v>59</v>
      </c>
      <c r="E14" s="37" t="s">
        <v>60</v>
      </c>
      <c r="F14" s="49" t="s">
        <v>22</v>
      </c>
      <c r="G14" s="50" t="str">
        <f>CONCATENATE(Table1[[#This Row],[Asset ID]], " ", Table1[[#This Row],[Serial Number]], " ",  Table1[[#This Row],[Customer Name]])</f>
        <v>T59789 MP25AD93   Humble ISD</v>
      </c>
      <c r="H14" s="49"/>
      <c r="I14" s="49" t="s">
        <v>23</v>
      </c>
      <c r="J14" s="49" t="s">
        <v>24</v>
      </c>
      <c r="K14" s="11" t="s">
        <v>25</v>
      </c>
      <c r="L14" s="35" t="s">
        <v>26</v>
      </c>
      <c r="M14" s="38">
        <v>46175</v>
      </c>
      <c r="N14" s="55" t="s">
        <v>56</v>
      </c>
      <c r="O14" s="38" t="s">
        <v>28</v>
      </c>
      <c r="P14" s="51"/>
      <c r="Q14" s="51"/>
      <c r="R14" s="51"/>
    </row>
    <row r="15" spans="1:18" ht="15.75">
      <c r="A15" s="33"/>
      <c r="B15" s="49" t="s">
        <v>18</v>
      </c>
      <c r="C15" s="49" t="s">
        <v>19</v>
      </c>
      <c r="D15" s="34" t="s">
        <v>61</v>
      </c>
      <c r="E15" s="37" t="s">
        <v>62</v>
      </c>
      <c r="F15" s="49" t="s">
        <v>22</v>
      </c>
      <c r="G15" s="50" t="str">
        <f>CONCATENATE(Table1[[#This Row],[Asset ID]], " ", Table1[[#This Row],[Serial Number]], " ",  Table1[[#This Row],[Customer Name]])</f>
        <v>T59593 MP25ALCA   Humble ISD</v>
      </c>
      <c r="H15" s="49"/>
      <c r="I15" s="49" t="s">
        <v>23</v>
      </c>
      <c r="J15" s="49" t="s">
        <v>24</v>
      </c>
      <c r="K15" s="11" t="s">
        <v>25</v>
      </c>
      <c r="L15" s="35" t="s">
        <v>26</v>
      </c>
      <c r="M15" s="38">
        <v>46175</v>
      </c>
      <c r="N15" s="55" t="s">
        <v>56</v>
      </c>
      <c r="O15" s="38" t="s">
        <v>28</v>
      </c>
      <c r="P15" s="51"/>
      <c r="Q15" s="51"/>
      <c r="R15" s="51"/>
    </row>
    <row r="16" spans="1:18" ht="15.75">
      <c r="A16" s="33"/>
      <c r="B16" s="49" t="s">
        <v>18</v>
      </c>
      <c r="C16" s="49" t="s">
        <v>19</v>
      </c>
      <c r="D16" s="34" t="s">
        <v>63</v>
      </c>
      <c r="E16" s="37" t="s">
        <v>64</v>
      </c>
      <c r="F16" s="49" t="s">
        <v>22</v>
      </c>
      <c r="G16" s="50" t="str">
        <f>CONCATENATE(Table1[[#This Row],[Asset ID]], " ", Table1[[#This Row],[Serial Number]], " ",  Table1[[#This Row],[Customer Name]])</f>
        <v>T61570 MP25ADNT   Humble ISD</v>
      </c>
      <c r="H16" s="49"/>
      <c r="I16" s="49" t="s">
        <v>23</v>
      </c>
      <c r="J16" s="49" t="s">
        <v>24</v>
      </c>
      <c r="K16" s="11" t="s">
        <v>25</v>
      </c>
      <c r="L16" s="35" t="s">
        <v>26</v>
      </c>
      <c r="M16" s="38">
        <v>46175</v>
      </c>
      <c r="N16" s="55" t="s">
        <v>56</v>
      </c>
      <c r="O16" s="38" t="s">
        <v>28</v>
      </c>
      <c r="P16" s="51"/>
      <c r="Q16" s="51"/>
      <c r="R16" s="51"/>
    </row>
    <row r="17" spans="1:18" ht="19.5" customHeight="1">
      <c r="A17" s="33"/>
      <c r="B17" s="49" t="s">
        <v>18</v>
      </c>
      <c r="C17" s="49" t="s">
        <v>19</v>
      </c>
      <c r="D17" s="34" t="s">
        <v>65</v>
      </c>
      <c r="E17" s="37" t="s">
        <v>66</v>
      </c>
      <c r="F17" s="49" t="s">
        <v>22</v>
      </c>
      <c r="G17" s="50" t="str">
        <f>CONCATENATE(Table1[[#This Row],[Asset ID]], " ", Table1[[#This Row],[Serial Number]], " ",  Table1[[#This Row],[Customer Name]])</f>
        <v>T63269 PF407GRR   Humble ISD</v>
      </c>
      <c r="H17" s="52"/>
      <c r="I17" s="49" t="s">
        <v>23</v>
      </c>
      <c r="J17" s="49" t="s">
        <v>24</v>
      </c>
      <c r="K17" s="11" t="s">
        <v>25</v>
      </c>
      <c r="L17" s="35" t="s">
        <v>33</v>
      </c>
      <c r="M17" s="38">
        <v>46175</v>
      </c>
      <c r="N17" s="55" t="s">
        <v>67</v>
      </c>
      <c r="O17" s="38" t="s">
        <v>40</v>
      </c>
      <c r="P17" s="51"/>
      <c r="Q17" s="51"/>
      <c r="R17" s="51"/>
    </row>
    <row r="18" spans="1:18" ht="15.75">
      <c r="A18" s="33"/>
      <c r="B18" s="49" t="s">
        <v>18</v>
      </c>
      <c r="C18" s="49" t="s">
        <v>19</v>
      </c>
      <c r="D18" s="34" t="s">
        <v>68</v>
      </c>
      <c r="E18" s="37" t="s">
        <v>69</v>
      </c>
      <c r="F18" s="49" t="s">
        <v>22</v>
      </c>
      <c r="G18" s="50" t="str">
        <f>CONCATENATE(Table1[[#This Row],[Asset ID]], " ", Table1[[#This Row],[Serial Number]], " ",  Table1[[#This Row],[Customer Name]])</f>
        <v>T62276 PF408NR2   Humble ISD</v>
      </c>
      <c r="H18" s="52"/>
      <c r="I18" s="49" t="s">
        <v>23</v>
      </c>
      <c r="J18" s="49" t="s">
        <v>24</v>
      </c>
      <c r="K18" s="11" t="s">
        <v>25</v>
      </c>
      <c r="L18" s="35" t="s">
        <v>33</v>
      </c>
      <c r="M18" s="38">
        <v>46175</v>
      </c>
      <c r="N18" s="55" t="s">
        <v>67</v>
      </c>
      <c r="O18" s="38" t="s">
        <v>34</v>
      </c>
      <c r="P18" s="51"/>
      <c r="Q18" s="51"/>
      <c r="R18" s="51"/>
    </row>
    <row r="19" spans="1:18" ht="15.75">
      <c r="A19" s="33"/>
      <c r="B19" s="49" t="s">
        <v>18</v>
      </c>
      <c r="C19" s="49" t="s">
        <v>19</v>
      </c>
      <c r="D19" s="34" t="s">
        <v>70</v>
      </c>
      <c r="E19" s="37" t="s">
        <v>71</v>
      </c>
      <c r="F19" s="49" t="s">
        <v>22</v>
      </c>
      <c r="G19" s="50" t="str">
        <f>CONCATENATE(Table1[[#This Row],[Asset ID]], " ", Table1[[#This Row],[Serial Number]], " ",  Table1[[#This Row],[Customer Name]])</f>
        <v>T64635 PF408YN0   Humble ISD</v>
      </c>
      <c r="H19" s="49"/>
      <c r="I19" s="49" t="s">
        <v>23</v>
      </c>
      <c r="J19" s="49" t="s">
        <v>24</v>
      </c>
      <c r="K19" s="11" t="s">
        <v>25</v>
      </c>
      <c r="L19" s="35" t="s">
        <v>33</v>
      </c>
      <c r="M19" s="38">
        <v>46175</v>
      </c>
      <c r="N19" s="55" t="s">
        <v>67</v>
      </c>
      <c r="O19" s="38" t="s">
        <v>34</v>
      </c>
      <c r="P19" s="51"/>
      <c r="Q19" s="51"/>
      <c r="R19" s="51"/>
    </row>
    <row r="20" spans="1:18" ht="15.75">
      <c r="A20" s="33"/>
      <c r="B20" s="49" t="s">
        <v>18</v>
      </c>
      <c r="C20" s="49" t="s">
        <v>19</v>
      </c>
      <c r="D20" s="34" t="s">
        <v>72</v>
      </c>
      <c r="E20" s="37" t="s">
        <v>73</v>
      </c>
      <c r="F20" s="49" t="s">
        <v>22</v>
      </c>
      <c r="G20" s="50" t="str">
        <f>CONCATENATE(Table1[[#This Row],[Asset ID]], " ", Table1[[#This Row],[Serial Number]], " ",  Table1[[#This Row],[Customer Name]])</f>
        <v>T61625 MP255Q7A   Humble ISD</v>
      </c>
      <c r="H20" s="49"/>
      <c r="I20" s="49" t="s">
        <v>23</v>
      </c>
      <c r="J20" s="49" t="s">
        <v>24</v>
      </c>
      <c r="K20" s="11" t="s">
        <v>25</v>
      </c>
      <c r="L20" s="35" t="s">
        <v>26</v>
      </c>
      <c r="M20" s="38">
        <v>46175</v>
      </c>
      <c r="N20" s="55" t="s">
        <v>67</v>
      </c>
      <c r="O20" s="38" t="s">
        <v>28</v>
      </c>
      <c r="P20" s="51"/>
      <c r="Q20" s="51"/>
      <c r="R20" s="51"/>
    </row>
    <row r="21" spans="1:18" ht="15.75">
      <c r="A21" s="33"/>
      <c r="B21" s="49" t="s">
        <v>18</v>
      </c>
      <c r="C21" s="49" t="s">
        <v>19</v>
      </c>
      <c r="D21" s="34" t="s">
        <v>74</v>
      </c>
      <c r="E21" s="37" t="s">
        <v>75</v>
      </c>
      <c r="F21" s="49" t="s">
        <v>22</v>
      </c>
      <c r="G21" s="50" t="str">
        <f>CONCATENATE(Table1[[#This Row],[Asset ID]], " ", Table1[[#This Row],[Serial Number]], " ",  Table1[[#This Row],[Customer Name]])</f>
        <v>T111995 PF50Q4Q0   Humble ISD</v>
      </c>
      <c r="H21" s="49"/>
      <c r="I21" s="49" t="s">
        <v>23</v>
      </c>
      <c r="J21" s="49" t="s">
        <v>24</v>
      </c>
      <c r="K21" s="11" t="s">
        <v>25</v>
      </c>
      <c r="L21" s="35" t="s">
        <v>33</v>
      </c>
      <c r="M21" s="38">
        <v>46175</v>
      </c>
      <c r="N21" s="55" t="s">
        <v>67</v>
      </c>
      <c r="O21" s="38" t="s">
        <v>76</v>
      </c>
      <c r="P21" s="51"/>
      <c r="Q21" s="51"/>
      <c r="R21" s="51"/>
    </row>
    <row r="22" spans="1:18" ht="15.75">
      <c r="A22" s="33"/>
      <c r="B22" s="49" t="s">
        <v>18</v>
      </c>
      <c r="C22" s="49" t="s">
        <v>19</v>
      </c>
      <c r="D22" s="34" t="s">
        <v>77</v>
      </c>
      <c r="E22" s="37" t="s">
        <v>78</v>
      </c>
      <c r="F22" s="49" t="s">
        <v>22</v>
      </c>
      <c r="G22" s="50" t="str">
        <f>CONCATENATE(Table1[[#This Row],[Asset ID]], " ", Table1[[#This Row],[Serial Number]], " ",  Table1[[#This Row],[Customer Name]])</f>
        <v>T104398 PF4EH3KA   Humble ISD</v>
      </c>
      <c r="H22" s="49"/>
      <c r="I22" s="49" t="s">
        <v>23</v>
      </c>
      <c r="J22" s="49" t="s">
        <v>24</v>
      </c>
      <c r="K22" s="11" t="s">
        <v>25</v>
      </c>
      <c r="L22" s="35" t="s">
        <v>33</v>
      </c>
      <c r="M22" s="38">
        <v>46175</v>
      </c>
      <c r="N22" s="55" t="s">
        <v>79</v>
      </c>
      <c r="O22" s="38" t="s">
        <v>80</v>
      </c>
      <c r="P22" s="51"/>
      <c r="Q22" s="51"/>
      <c r="R22" s="51"/>
    </row>
    <row r="23" spans="1:18" ht="15.75">
      <c r="A23" s="33"/>
      <c r="B23" s="49" t="s">
        <v>18</v>
      </c>
      <c r="C23" s="49" t="s">
        <v>19</v>
      </c>
      <c r="D23" s="34" t="s">
        <v>81</v>
      </c>
      <c r="E23" s="37" t="s">
        <v>82</v>
      </c>
      <c r="F23" s="49" t="s">
        <v>22</v>
      </c>
      <c r="G23" s="50" t="str">
        <f>CONCATENATE(Table1[[#This Row],[Asset ID]], " ", Table1[[#This Row],[Serial Number]], " ",  Table1[[#This Row],[Customer Name]])</f>
        <v>T62676 PF3ZQ05G   Humble ISD</v>
      </c>
      <c r="H23" s="49"/>
      <c r="I23" s="49" t="s">
        <v>23</v>
      </c>
      <c r="J23" s="49" t="s">
        <v>24</v>
      </c>
      <c r="K23" s="11" t="s">
        <v>25</v>
      </c>
      <c r="L23" s="35" t="s">
        <v>33</v>
      </c>
      <c r="M23" s="38">
        <v>46175</v>
      </c>
      <c r="N23" s="55" t="s">
        <v>79</v>
      </c>
      <c r="O23" s="38" t="s">
        <v>40</v>
      </c>
      <c r="P23" s="51"/>
      <c r="Q23" s="51"/>
      <c r="R23" s="51"/>
    </row>
    <row r="24" spans="1:18" ht="15.75">
      <c r="A24" s="33"/>
      <c r="B24" s="49" t="s">
        <v>18</v>
      </c>
      <c r="C24" s="49" t="s">
        <v>19</v>
      </c>
      <c r="D24" s="34" t="s">
        <v>83</v>
      </c>
      <c r="E24" s="37" t="s">
        <v>84</v>
      </c>
      <c r="F24" s="49" t="s">
        <v>22</v>
      </c>
      <c r="G24" s="50" t="str">
        <f>CONCATENATE(Table1[[#This Row],[Asset ID]], " ", Table1[[#This Row],[Serial Number]], " ",  Table1[[#This Row],[Customer Name]])</f>
        <v>T120854 PF5CK5VC   Humble ISD</v>
      </c>
      <c r="H24" s="49"/>
      <c r="I24" s="49" t="s">
        <v>23</v>
      </c>
      <c r="J24" s="49" t="s">
        <v>24</v>
      </c>
      <c r="K24" s="11" t="s">
        <v>25</v>
      </c>
      <c r="L24" s="35" t="s">
        <v>85</v>
      </c>
      <c r="M24" s="38">
        <v>46175</v>
      </c>
      <c r="N24" s="55" t="s">
        <v>79</v>
      </c>
      <c r="O24" s="38" t="s">
        <v>86</v>
      </c>
      <c r="P24" s="51"/>
      <c r="Q24" s="51"/>
      <c r="R24" s="51"/>
    </row>
    <row r="25" spans="1:18" ht="15.75">
      <c r="A25" s="33"/>
      <c r="B25" s="49" t="s">
        <v>18</v>
      </c>
      <c r="C25" s="49" t="s">
        <v>19</v>
      </c>
      <c r="D25" s="34" t="s">
        <v>87</v>
      </c>
      <c r="E25" s="37" t="s">
        <v>88</v>
      </c>
      <c r="F25" s="49" t="s">
        <v>22</v>
      </c>
      <c r="G25" s="50" t="str">
        <f>CONCATENATE(Table1[[#This Row],[Asset ID]], " ", Table1[[#This Row],[Serial Number]], " ",  Table1[[#This Row],[Customer Name]])</f>
        <v>T63068 PF3ZPDQW   Humble ISD</v>
      </c>
      <c r="H25" s="49"/>
      <c r="I25" s="49" t="s">
        <v>23</v>
      </c>
      <c r="J25" s="49" t="s">
        <v>24</v>
      </c>
      <c r="K25" s="11" t="s">
        <v>25</v>
      </c>
      <c r="L25" s="35" t="s">
        <v>33</v>
      </c>
      <c r="M25" s="38">
        <v>46175</v>
      </c>
      <c r="N25" s="55" t="s">
        <v>79</v>
      </c>
      <c r="O25" s="38" t="s">
        <v>34</v>
      </c>
      <c r="P25" s="51"/>
      <c r="Q25" s="51"/>
      <c r="R25" s="51"/>
    </row>
    <row r="26" spans="1:18" ht="15.75">
      <c r="A26" s="33"/>
      <c r="B26" s="49" t="s">
        <v>18</v>
      </c>
      <c r="C26" s="49" t="s">
        <v>19</v>
      </c>
      <c r="D26" s="34" t="s">
        <v>89</v>
      </c>
      <c r="E26" s="37" t="s">
        <v>90</v>
      </c>
      <c r="F26" s="49" t="s">
        <v>22</v>
      </c>
      <c r="G26" s="50" t="str">
        <f>CONCATENATE(Table1[[#This Row],[Asset ID]], " ", Table1[[#This Row],[Serial Number]], " ",  Table1[[#This Row],[Customer Name]])</f>
        <v>T120717 PF5CKQS5   Humble ISD</v>
      </c>
      <c r="H26" s="49"/>
      <c r="I26" s="49" t="s">
        <v>23</v>
      </c>
      <c r="J26" s="49" t="s">
        <v>24</v>
      </c>
      <c r="K26" s="11" t="s">
        <v>25</v>
      </c>
      <c r="L26" s="35" t="s">
        <v>85</v>
      </c>
      <c r="M26" s="38">
        <v>46175</v>
      </c>
      <c r="N26" s="55" t="s">
        <v>79</v>
      </c>
      <c r="O26" s="38" t="s">
        <v>86</v>
      </c>
      <c r="P26" s="51"/>
      <c r="Q26" s="51"/>
      <c r="R26" s="51"/>
    </row>
    <row r="27" spans="1:18" ht="15.75">
      <c r="A27" s="33"/>
      <c r="B27" s="49" t="s">
        <v>18</v>
      </c>
      <c r="C27" s="49" t="s">
        <v>19</v>
      </c>
      <c r="D27" s="34" t="s">
        <v>91</v>
      </c>
      <c r="E27" s="37" t="s">
        <v>92</v>
      </c>
      <c r="F27" s="49" t="s">
        <v>22</v>
      </c>
      <c r="G27" s="50" t="str">
        <f>CONCATENATE(Table1[[#This Row],[Asset ID]], " ", Table1[[#This Row],[Serial Number]], " ",  Table1[[#This Row],[Customer Name]])</f>
        <v>T104422 PF4EFYN4   Humble ISD</v>
      </c>
      <c r="H27" s="49"/>
      <c r="I27" s="49" t="s">
        <v>23</v>
      </c>
      <c r="J27" s="49" t="s">
        <v>24</v>
      </c>
      <c r="K27" s="11" t="s">
        <v>25</v>
      </c>
      <c r="L27" s="35" t="s">
        <v>33</v>
      </c>
      <c r="M27" s="38">
        <v>46175</v>
      </c>
      <c r="N27" s="55" t="s">
        <v>93</v>
      </c>
      <c r="O27" s="38" t="s">
        <v>80</v>
      </c>
      <c r="P27" s="51"/>
      <c r="Q27" s="51"/>
      <c r="R27" s="51"/>
    </row>
    <row r="28" spans="1:18" ht="15.75">
      <c r="A28" s="33"/>
      <c r="B28" s="49" t="s">
        <v>18</v>
      </c>
      <c r="C28" s="49" t="s">
        <v>19</v>
      </c>
      <c r="D28" s="34" t="s">
        <v>94</v>
      </c>
      <c r="E28" s="37" t="s">
        <v>95</v>
      </c>
      <c r="F28" s="49" t="s">
        <v>22</v>
      </c>
      <c r="G28" s="50" t="str">
        <f>CONCATENATE(Table1[[#This Row],[Asset ID]], " ", Table1[[#This Row],[Serial Number]], " ",  Table1[[#This Row],[Customer Name]])</f>
        <v>T64166 PF4097E0   Humble ISD</v>
      </c>
      <c r="H28" s="49"/>
      <c r="I28" s="49" t="s">
        <v>23</v>
      </c>
      <c r="J28" s="49" t="s">
        <v>24</v>
      </c>
      <c r="K28" s="11" t="s">
        <v>25</v>
      </c>
      <c r="L28" s="35" t="s">
        <v>33</v>
      </c>
      <c r="M28" s="38">
        <v>46175</v>
      </c>
      <c r="N28" s="55" t="s">
        <v>93</v>
      </c>
      <c r="O28" s="38" t="s">
        <v>40</v>
      </c>
      <c r="P28" s="51"/>
      <c r="Q28" s="51"/>
      <c r="R28" s="51"/>
    </row>
    <row r="29" spans="1:18" ht="15.75">
      <c r="A29" s="33"/>
      <c r="B29" s="49" t="s">
        <v>18</v>
      </c>
      <c r="C29" s="49" t="s">
        <v>19</v>
      </c>
      <c r="D29" s="34" t="s">
        <v>96</v>
      </c>
      <c r="E29" s="37" t="s">
        <v>97</v>
      </c>
      <c r="F29" s="49" t="s">
        <v>22</v>
      </c>
      <c r="G29" s="50" t="str">
        <f>CONCATENATE(Table1[[#This Row],[Asset ID]], " ", Table1[[#This Row],[Serial Number]], " ",  Table1[[#This Row],[Customer Name]])</f>
        <v>T64582 PF404GEZ   Humble ISD</v>
      </c>
      <c r="H29" s="49"/>
      <c r="I29" s="49" t="s">
        <v>23</v>
      </c>
      <c r="J29" s="49" t="s">
        <v>24</v>
      </c>
      <c r="K29" s="11" t="s">
        <v>25</v>
      </c>
      <c r="L29" s="35" t="s">
        <v>33</v>
      </c>
      <c r="M29" s="38">
        <v>46175</v>
      </c>
      <c r="N29" s="55" t="s">
        <v>93</v>
      </c>
      <c r="O29" s="38" t="s">
        <v>34</v>
      </c>
      <c r="P29" s="51"/>
      <c r="Q29" s="51"/>
      <c r="R29" s="51"/>
    </row>
    <row r="30" spans="1:18" ht="15.75">
      <c r="A30" s="33"/>
      <c r="B30" s="49" t="s">
        <v>18</v>
      </c>
      <c r="C30" s="49" t="s">
        <v>19</v>
      </c>
      <c r="D30" s="34" t="s">
        <v>98</v>
      </c>
      <c r="E30" s="37" t="s">
        <v>99</v>
      </c>
      <c r="F30" s="49" t="s">
        <v>22</v>
      </c>
      <c r="G30" s="50" t="str">
        <f>CONCATENATE(Table1[[#This Row],[Asset ID]], " ", Table1[[#This Row],[Serial Number]], " ",  Table1[[#This Row],[Customer Name]])</f>
        <v>T104640 PF4EHRC1   Humble ISD</v>
      </c>
      <c r="H30" s="49"/>
      <c r="I30" s="49" t="s">
        <v>23</v>
      </c>
      <c r="J30" s="49" t="s">
        <v>24</v>
      </c>
      <c r="K30" s="11" t="s">
        <v>25</v>
      </c>
      <c r="L30" s="35" t="s">
        <v>33</v>
      </c>
      <c r="M30" s="38">
        <v>46175</v>
      </c>
      <c r="N30" s="55" t="s">
        <v>93</v>
      </c>
      <c r="O30" s="38" t="s">
        <v>80</v>
      </c>
      <c r="P30" s="51"/>
      <c r="Q30" s="51"/>
      <c r="R30" s="51"/>
    </row>
    <row r="31" spans="1:18" ht="15.75">
      <c r="A31" s="33"/>
      <c r="B31" s="49" t="s">
        <v>18</v>
      </c>
      <c r="C31" s="49" t="s">
        <v>19</v>
      </c>
      <c r="D31" s="34" t="s">
        <v>100</v>
      </c>
      <c r="E31" s="37" t="s">
        <v>101</v>
      </c>
      <c r="F31" s="49" t="s">
        <v>22</v>
      </c>
      <c r="G31" s="50" t="str">
        <f>CONCATENATE(Table1[[#This Row],[Asset ID]], " ", Table1[[#This Row],[Serial Number]], " ",  Table1[[#This Row],[Customer Name]])</f>
        <v>T109440 PF4YF3HW   Humble ISD</v>
      </c>
      <c r="H31" s="49"/>
      <c r="I31" s="49" t="s">
        <v>23</v>
      </c>
      <c r="J31" s="49" t="s">
        <v>24</v>
      </c>
      <c r="K31" s="11" t="s">
        <v>25</v>
      </c>
      <c r="L31" s="35" t="s">
        <v>33</v>
      </c>
      <c r="M31" s="38">
        <v>46175</v>
      </c>
      <c r="N31" s="55" t="s">
        <v>93</v>
      </c>
      <c r="O31" s="38" t="s">
        <v>102</v>
      </c>
      <c r="P31" s="51"/>
      <c r="Q31" s="51"/>
      <c r="R31" s="51"/>
    </row>
    <row r="32" spans="1:18" ht="15.75">
      <c r="A32" s="33"/>
      <c r="B32" s="49" t="s">
        <v>18</v>
      </c>
      <c r="C32" s="49" t="s">
        <v>19</v>
      </c>
      <c r="D32" s="34" t="s">
        <v>103</v>
      </c>
      <c r="E32" s="37" t="s">
        <v>104</v>
      </c>
      <c r="F32" s="49" t="s">
        <v>22</v>
      </c>
      <c r="G32" s="50" t="str">
        <f>CONCATENATE(Table1[[#This Row],[Asset ID]], " ", Table1[[#This Row],[Serial Number]], " ",  Table1[[#This Row],[Customer Name]])</f>
        <v>T108134 PF4Y7TD5   Humble ISD</v>
      </c>
      <c r="H32" s="49"/>
      <c r="I32" s="49" t="s">
        <v>23</v>
      </c>
      <c r="J32" s="49" t="s">
        <v>24</v>
      </c>
      <c r="K32" s="11" t="s">
        <v>25</v>
      </c>
      <c r="L32" s="35" t="s">
        <v>33</v>
      </c>
      <c r="M32" s="38">
        <v>46175</v>
      </c>
      <c r="N32" s="55" t="s">
        <v>105</v>
      </c>
      <c r="O32" s="38" t="s">
        <v>37</v>
      </c>
      <c r="P32" s="51"/>
      <c r="Q32" s="51"/>
      <c r="R32" s="51"/>
    </row>
    <row r="33" spans="1:18" ht="15.75">
      <c r="A33" s="33"/>
      <c r="B33" s="49" t="s">
        <v>18</v>
      </c>
      <c r="C33" s="49" t="s">
        <v>19</v>
      </c>
      <c r="D33" s="34" t="s">
        <v>106</v>
      </c>
      <c r="E33" s="37" t="s">
        <v>107</v>
      </c>
      <c r="F33" s="49" t="s">
        <v>22</v>
      </c>
      <c r="G33" s="50" t="str">
        <f>CONCATENATE(Table1[[#This Row],[Asset ID]], " ", Table1[[#This Row],[Serial Number]], " ",  Table1[[#This Row],[Customer Name]])</f>
        <v>T119972 PF5KB1PF   Humble ISD</v>
      </c>
      <c r="H33" s="49"/>
      <c r="I33" s="49" t="s">
        <v>23</v>
      </c>
      <c r="J33" s="49" t="s">
        <v>24</v>
      </c>
      <c r="K33" s="11" t="s">
        <v>25</v>
      </c>
      <c r="L33" s="35" t="s">
        <v>85</v>
      </c>
      <c r="M33" s="38">
        <v>46175</v>
      </c>
      <c r="N33" s="55" t="s">
        <v>105</v>
      </c>
      <c r="O33" s="38" t="s">
        <v>108</v>
      </c>
      <c r="P33" s="51"/>
      <c r="Q33" s="51"/>
      <c r="R33" s="51"/>
    </row>
    <row r="34" spans="1:18" ht="15.75">
      <c r="A34" s="33"/>
      <c r="B34" s="49" t="s">
        <v>18</v>
      </c>
      <c r="C34" s="49" t="s">
        <v>19</v>
      </c>
      <c r="D34" s="34" t="s">
        <v>109</v>
      </c>
      <c r="E34" s="37" t="s">
        <v>110</v>
      </c>
      <c r="F34" s="49" t="s">
        <v>22</v>
      </c>
      <c r="G34" s="50" t="str">
        <f>CONCATENATE(Table1[[#This Row],[Asset ID]], " ", Table1[[#This Row],[Serial Number]], " ",  Table1[[#This Row],[Customer Name]])</f>
        <v>T90638 PF5KD93F   Humble ISD</v>
      </c>
      <c r="H34" s="49"/>
      <c r="I34" s="49" t="s">
        <v>23</v>
      </c>
      <c r="J34" s="49" t="s">
        <v>24</v>
      </c>
      <c r="K34" s="11" t="s">
        <v>25</v>
      </c>
      <c r="L34" s="35" t="s">
        <v>85</v>
      </c>
      <c r="M34" s="38">
        <v>46175</v>
      </c>
      <c r="N34" s="55" t="s">
        <v>105</v>
      </c>
      <c r="O34" s="38" t="s">
        <v>111</v>
      </c>
      <c r="P34" s="51"/>
      <c r="Q34" s="51"/>
      <c r="R34" s="51"/>
    </row>
    <row r="35" spans="1:18" ht="15.75">
      <c r="A35" s="33"/>
      <c r="B35" s="49" t="s">
        <v>18</v>
      </c>
      <c r="C35" s="49" t="s">
        <v>19</v>
      </c>
      <c r="D35" s="34" t="s">
        <v>112</v>
      </c>
      <c r="E35" s="37" t="s">
        <v>113</v>
      </c>
      <c r="F35" s="49" t="s">
        <v>22</v>
      </c>
      <c r="G35" s="50" t="str">
        <f>CONCATENATE(Table1[[#This Row],[Asset ID]], " ", Table1[[#This Row],[Serial Number]], " ",  Table1[[#This Row],[Customer Name]])</f>
        <v>T119964 PF5K6T7P   Humble ISD</v>
      </c>
      <c r="H35" s="49"/>
      <c r="I35" s="49" t="s">
        <v>23</v>
      </c>
      <c r="J35" s="49" t="s">
        <v>24</v>
      </c>
      <c r="K35" s="11" t="s">
        <v>25</v>
      </c>
      <c r="L35" s="35" t="s">
        <v>85</v>
      </c>
      <c r="M35" s="38">
        <v>46175</v>
      </c>
      <c r="N35" s="55" t="s">
        <v>105</v>
      </c>
      <c r="O35" s="38" t="s">
        <v>108</v>
      </c>
      <c r="P35" s="51"/>
      <c r="Q35" s="51"/>
      <c r="R35" s="51"/>
    </row>
    <row r="36" spans="1:18" ht="15.75">
      <c r="A36" s="33"/>
      <c r="B36" s="49" t="s">
        <v>18</v>
      </c>
      <c r="C36" s="49" t="s">
        <v>19</v>
      </c>
      <c r="D36" s="34" t="s">
        <v>114</v>
      </c>
      <c r="E36" s="37" t="s">
        <v>115</v>
      </c>
      <c r="F36" s="49" t="s">
        <v>22</v>
      </c>
      <c r="G36" s="50" t="str">
        <f>CONCATENATE(Table1[[#This Row],[Asset ID]], " ", Table1[[#This Row],[Serial Number]], " ",  Table1[[#This Row],[Customer Name]])</f>
        <v>T122190 PF5AKSEG   Humble ISD</v>
      </c>
      <c r="H36" s="49"/>
      <c r="I36" s="49" t="s">
        <v>23</v>
      </c>
      <c r="J36" s="49" t="s">
        <v>24</v>
      </c>
      <c r="K36" s="11" t="s">
        <v>25</v>
      </c>
      <c r="L36" s="35" t="s">
        <v>85</v>
      </c>
      <c r="M36" s="38">
        <v>46175</v>
      </c>
      <c r="N36" s="55" t="s">
        <v>105</v>
      </c>
      <c r="O36" s="38" t="s">
        <v>116</v>
      </c>
      <c r="P36" s="51"/>
      <c r="Q36" s="51"/>
      <c r="R36" s="51"/>
    </row>
    <row r="37" spans="1:18" ht="15.75">
      <c r="A37" s="33"/>
      <c r="B37" s="49" t="s">
        <v>18</v>
      </c>
      <c r="C37" s="49" t="s">
        <v>19</v>
      </c>
      <c r="D37" s="39" t="s">
        <v>117</v>
      </c>
      <c r="E37" s="40" t="s">
        <v>118</v>
      </c>
      <c r="F37" s="49" t="s">
        <v>22</v>
      </c>
      <c r="G37" s="50" t="str">
        <f>CONCATENATE(Table1[[#This Row],[Asset ID]], " ", Table1[[#This Row],[Serial Number]], " ",  Table1[[#This Row],[Customer Name]])</f>
        <v>T118572 PF5KEREF   Humble ISD</v>
      </c>
      <c r="H37" s="49"/>
      <c r="I37" s="49" t="s">
        <v>23</v>
      </c>
      <c r="J37" s="49" t="s">
        <v>24</v>
      </c>
      <c r="K37" s="11" t="s">
        <v>25</v>
      </c>
      <c r="L37" s="41" t="s">
        <v>85</v>
      </c>
      <c r="M37" s="42">
        <v>46175</v>
      </c>
      <c r="N37" s="55" t="s">
        <v>119</v>
      </c>
      <c r="O37" s="40" t="s">
        <v>108</v>
      </c>
      <c r="P37" s="43"/>
      <c r="Q37" s="51"/>
      <c r="R37" s="51"/>
    </row>
    <row r="38" spans="1:18" ht="15.75">
      <c r="A38" s="33"/>
      <c r="B38" s="49" t="s">
        <v>18</v>
      </c>
      <c r="C38" s="49" t="s">
        <v>19</v>
      </c>
      <c r="D38" s="39" t="s">
        <v>120</v>
      </c>
      <c r="E38" s="40" t="s">
        <v>121</v>
      </c>
      <c r="F38" s="49" t="s">
        <v>22</v>
      </c>
      <c r="G38" s="50" t="str">
        <f>CONCATENATE(Table1[[#This Row],[Asset ID]], " ", Table1[[#This Row],[Serial Number]], " ",  Table1[[#This Row],[Customer Name]])</f>
        <v>T109169 PF4XCDSA   Humble ISD</v>
      </c>
      <c r="H38" s="49"/>
      <c r="I38" s="49" t="s">
        <v>23</v>
      </c>
      <c r="J38" s="49" t="s">
        <v>24</v>
      </c>
      <c r="K38" s="11" t="s">
        <v>25</v>
      </c>
      <c r="L38" s="41" t="s">
        <v>33</v>
      </c>
      <c r="M38" s="42">
        <v>46175</v>
      </c>
      <c r="N38" s="55" t="s">
        <v>119</v>
      </c>
      <c r="O38" s="40" t="s">
        <v>102</v>
      </c>
      <c r="P38" s="43"/>
      <c r="Q38" s="51"/>
      <c r="R38" s="51"/>
    </row>
    <row r="39" spans="1:18" ht="15.75">
      <c r="A39" s="33"/>
      <c r="B39" s="49" t="s">
        <v>18</v>
      </c>
      <c r="C39" s="49" t="s">
        <v>19</v>
      </c>
      <c r="D39" s="39" t="s">
        <v>122</v>
      </c>
      <c r="E39" s="40" t="s">
        <v>123</v>
      </c>
      <c r="F39" s="49" t="s">
        <v>22</v>
      </c>
      <c r="G39" s="50" t="str">
        <f>CONCATENATE(Table1[[#This Row],[Asset ID]], " ", Table1[[#This Row],[Serial Number]], " ",  Table1[[#This Row],[Customer Name]])</f>
        <v>T62467 PF3ZQ42J   Humble ISD</v>
      </c>
      <c r="H39" s="49"/>
      <c r="I39" s="49" t="s">
        <v>23</v>
      </c>
      <c r="J39" s="49" t="s">
        <v>24</v>
      </c>
      <c r="K39" s="11" t="s">
        <v>25</v>
      </c>
      <c r="L39" s="41" t="s">
        <v>33</v>
      </c>
      <c r="M39" s="42">
        <v>46175</v>
      </c>
      <c r="N39" s="55" t="s">
        <v>119</v>
      </c>
      <c r="O39" s="40" t="s">
        <v>34</v>
      </c>
      <c r="P39" s="43"/>
      <c r="Q39" s="51"/>
      <c r="R39" s="51"/>
    </row>
    <row r="40" spans="1:18" ht="15.75">
      <c r="A40" s="33"/>
      <c r="B40" s="49" t="s">
        <v>18</v>
      </c>
      <c r="C40" s="49" t="s">
        <v>19</v>
      </c>
      <c r="D40" s="39" t="s">
        <v>124</v>
      </c>
      <c r="E40" s="40" t="s">
        <v>125</v>
      </c>
      <c r="F40" s="49" t="s">
        <v>22</v>
      </c>
      <c r="G40" s="50" t="str">
        <f>CONCATENATE(Table1[[#This Row],[Asset ID]], " ", Table1[[#This Row],[Serial Number]], " ",  Table1[[#This Row],[Customer Name]])</f>
        <v>T109294 PF4YJSCN   Humble ISD</v>
      </c>
      <c r="H40" s="49"/>
      <c r="I40" s="49" t="s">
        <v>23</v>
      </c>
      <c r="J40" s="49" t="s">
        <v>24</v>
      </c>
      <c r="K40" s="11" t="s">
        <v>25</v>
      </c>
      <c r="L40" s="41" t="s">
        <v>33</v>
      </c>
      <c r="M40" s="42">
        <v>46175</v>
      </c>
      <c r="N40" s="55" t="s">
        <v>119</v>
      </c>
      <c r="O40" s="40" t="s">
        <v>102</v>
      </c>
      <c r="P40" s="43"/>
      <c r="Q40" s="51"/>
      <c r="R40" s="51"/>
    </row>
    <row r="41" spans="1:18" ht="15.75">
      <c r="A41" s="33"/>
      <c r="B41" s="49" t="s">
        <v>18</v>
      </c>
      <c r="C41" s="49" t="s">
        <v>19</v>
      </c>
      <c r="D41" s="39" t="s">
        <v>126</v>
      </c>
      <c r="E41" s="40" t="s">
        <v>127</v>
      </c>
      <c r="F41" s="49" t="s">
        <v>22</v>
      </c>
      <c r="G41" s="50" t="str">
        <f>CONCATENATE(Table1[[#This Row],[Asset ID]], " ", Table1[[#This Row],[Serial Number]], " ",  Table1[[#This Row],[Customer Name]])</f>
        <v>T105044 PF4E3VTE   Humble ISD</v>
      </c>
      <c r="H41" s="49"/>
      <c r="I41" s="49" t="s">
        <v>23</v>
      </c>
      <c r="J41" s="49" t="s">
        <v>24</v>
      </c>
      <c r="K41" s="11" t="s">
        <v>25</v>
      </c>
      <c r="L41" s="41" t="s">
        <v>33</v>
      </c>
      <c r="M41" s="42">
        <v>46175</v>
      </c>
      <c r="N41" s="55" t="s">
        <v>119</v>
      </c>
      <c r="O41" s="40" t="s">
        <v>128</v>
      </c>
      <c r="P41" s="43"/>
      <c r="Q41" s="51"/>
      <c r="R41" s="51"/>
    </row>
    <row r="42" spans="1:18" ht="15.75">
      <c r="A42" s="33"/>
      <c r="B42" s="49" t="s">
        <v>18</v>
      </c>
      <c r="C42" s="49" t="s">
        <v>19</v>
      </c>
      <c r="D42" s="39" t="s">
        <v>129</v>
      </c>
      <c r="E42" s="40" t="s">
        <v>130</v>
      </c>
      <c r="F42" s="49" t="s">
        <v>22</v>
      </c>
      <c r="G42" s="50" t="str">
        <f>CONCATENATE(Table1[[#This Row],[Asset ID]], " ", Table1[[#This Row],[Serial Number]], " ",  Table1[[#This Row],[Customer Name]])</f>
        <v>T104955 PF4E44YL   Humble ISD</v>
      </c>
      <c r="H42" s="49"/>
      <c r="I42" s="49" t="s">
        <v>23</v>
      </c>
      <c r="J42" s="49" t="s">
        <v>24</v>
      </c>
      <c r="K42" s="11" t="s">
        <v>25</v>
      </c>
      <c r="L42" s="41" t="s">
        <v>33</v>
      </c>
      <c r="M42" s="42">
        <v>46175</v>
      </c>
      <c r="N42" s="55" t="s">
        <v>131</v>
      </c>
      <c r="O42" s="40" t="s">
        <v>128</v>
      </c>
      <c r="P42" s="43"/>
      <c r="Q42" s="51"/>
      <c r="R42" s="51"/>
    </row>
    <row r="43" spans="1:18" ht="15.75">
      <c r="A43" s="33"/>
      <c r="B43" s="49" t="s">
        <v>18</v>
      </c>
      <c r="C43" s="49" t="s">
        <v>19</v>
      </c>
      <c r="D43" s="39" t="s">
        <v>132</v>
      </c>
      <c r="E43" s="40" t="s">
        <v>133</v>
      </c>
      <c r="F43" s="49" t="s">
        <v>22</v>
      </c>
      <c r="G43" s="50" t="str">
        <f>CONCATENATE(Table1[[#This Row],[Asset ID]], " ", Table1[[#This Row],[Serial Number]], " ",  Table1[[#This Row],[Customer Name]])</f>
        <v>T104919 PF4ER1PQ   Humble ISD</v>
      </c>
      <c r="H43" s="49"/>
      <c r="I43" s="49" t="s">
        <v>23</v>
      </c>
      <c r="J43" s="49" t="s">
        <v>24</v>
      </c>
      <c r="K43" s="11" t="s">
        <v>25</v>
      </c>
      <c r="L43" s="41" t="s">
        <v>33</v>
      </c>
      <c r="M43" s="42">
        <v>46175</v>
      </c>
      <c r="N43" s="55" t="s">
        <v>131</v>
      </c>
      <c r="O43" s="40" t="s">
        <v>128</v>
      </c>
      <c r="P43" s="43"/>
      <c r="Q43" s="51"/>
      <c r="R43" s="51"/>
    </row>
    <row r="44" spans="1:18" ht="15.75">
      <c r="A44" s="33"/>
      <c r="B44" s="49" t="s">
        <v>18</v>
      </c>
      <c r="C44" s="49" t="s">
        <v>19</v>
      </c>
      <c r="D44" s="39" t="s">
        <v>134</v>
      </c>
      <c r="E44" s="40" t="s">
        <v>135</v>
      </c>
      <c r="F44" s="49" t="s">
        <v>22</v>
      </c>
      <c r="G44" s="50" t="str">
        <f>CONCATENATE(Table1[[#This Row],[Asset ID]], " ", Table1[[#This Row],[Serial Number]], " ",  Table1[[#This Row],[Customer Name]])</f>
        <v>T115471 PF50Q25X   Humble ISD</v>
      </c>
      <c r="H44" s="49"/>
      <c r="I44" s="49" t="s">
        <v>23</v>
      </c>
      <c r="J44" s="49" t="s">
        <v>24</v>
      </c>
      <c r="K44" s="11" t="s">
        <v>25</v>
      </c>
      <c r="L44" s="41" t="s">
        <v>33</v>
      </c>
      <c r="M44" s="42">
        <v>46175</v>
      </c>
      <c r="N44" s="55" t="s">
        <v>131</v>
      </c>
      <c r="O44" s="40" t="s">
        <v>136</v>
      </c>
      <c r="P44" s="43"/>
      <c r="Q44" s="51"/>
      <c r="R44" s="51"/>
    </row>
    <row r="45" spans="1:18" ht="15.75">
      <c r="A45" s="33"/>
      <c r="B45" s="49" t="s">
        <v>18</v>
      </c>
      <c r="C45" s="49" t="s">
        <v>19</v>
      </c>
      <c r="D45" s="39" t="s">
        <v>137</v>
      </c>
      <c r="E45" s="40" t="s">
        <v>138</v>
      </c>
      <c r="F45" s="49" t="s">
        <v>22</v>
      </c>
      <c r="G45" s="50" t="str">
        <f>CONCATENATE(Table1[[#This Row],[Asset ID]], " ", Table1[[#This Row],[Serial Number]], " ",  Table1[[#This Row],[Customer Name]])</f>
        <v>T106802 PF4YFCC1   Humble ISD</v>
      </c>
      <c r="H45" s="49"/>
      <c r="I45" s="49" t="s">
        <v>23</v>
      </c>
      <c r="J45" s="49" t="s">
        <v>24</v>
      </c>
      <c r="K45" s="11" t="s">
        <v>25</v>
      </c>
      <c r="L45" s="41" t="s">
        <v>33</v>
      </c>
      <c r="M45" s="42">
        <v>46175</v>
      </c>
      <c r="N45" s="55" t="s">
        <v>131</v>
      </c>
      <c r="O45" s="40" t="s">
        <v>49</v>
      </c>
      <c r="P45" s="43"/>
      <c r="Q45" s="51"/>
      <c r="R45" s="51"/>
    </row>
    <row r="46" spans="1:18" ht="15.75">
      <c r="A46" s="33"/>
      <c r="B46" s="49" t="s">
        <v>18</v>
      </c>
      <c r="C46" s="49" t="s">
        <v>19</v>
      </c>
      <c r="D46" s="39" t="s">
        <v>139</v>
      </c>
      <c r="E46" s="40" t="s">
        <v>140</v>
      </c>
      <c r="F46" s="49" t="s">
        <v>22</v>
      </c>
      <c r="G46" s="50" t="str">
        <f>CONCATENATE(Table1[[#This Row],[Asset ID]], " ", Table1[[#This Row],[Serial Number]], " ",  Table1[[#This Row],[Customer Name]])</f>
        <v>T111820 PF50P19R   Humble ISD</v>
      </c>
      <c r="H46" s="49"/>
      <c r="I46" s="49" t="s">
        <v>23</v>
      </c>
      <c r="J46" s="49" t="s">
        <v>24</v>
      </c>
      <c r="K46" s="11" t="s">
        <v>25</v>
      </c>
      <c r="L46" s="41" t="s">
        <v>33</v>
      </c>
      <c r="M46" s="42">
        <v>46175</v>
      </c>
      <c r="N46" s="55" t="s">
        <v>131</v>
      </c>
      <c r="O46" s="40" t="s">
        <v>136</v>
      </c>
      <c r="P46" s="43"/>
      <c r="Q46" s="51"/>
      <c r="R46" s="51"/>
    </row>
    <row r="47" spans="1:18" ht="15.75">
      <c r="A47" s="33"/>
      <c r="B47" s="49" t="s">
        <v>18</v>
      </c>
      <c r="C47" s="49" t="s">
        <v>19</v>
      </c>
      <c r="D47" s="39" t="s">
        <v>141</v>
      </c>
      <c r="E47" s="40" t="s">
        <v>142</v>
      </c>
      <c r="F47" s="49" t="s">
        <v>22</v>
      </c>
      <c r="G47" s="50" t="str">
        <f>CONCATENATE(Table1[[#This Row],[Asset ID]], " ", Table1[[#This Row],[Serial Number]], " ",  Table1[[#This Row],[Customer Name]])</f>
        <v>T59629 MP25AFMG   Humble ISD</v>
      </c>
      <c r="H47" s="49"/>
      <c r="I47" s="49" t="s">
        <v>23</v>
      </c>
      <c r="J47" s="49" t="s">
        <v>24</v>
      </c>
      <c r="K47" s="11" t="s">
        <v>25</v>
      </c>
      <c r="L47" s="41" t="s">
        <v>26</v>
      </c>
      <c r="M47" s="42">
        <v>46175</v>
      </c>
      <c r="N47" s="55" t="s">
        <v>143</v>
      </c>
      <c r="O47" s="40" t="s">
        <v>28</v>
      </c>
      <c r="P47" s="43"/>
      <c r="Q47" s="51"/>
      <c r="R47" s="51"/>
    </row>
    <row r="48" spans="1:18" ht="15.75">
      <c r="A48" s="33"/>
      <c r="B48" s="49" t="s">
        <v>18</v>
      </c>
      <c r="C48" s="49" t="s">
        <v>19</v>
      </c>
      <c r="D48" s="39" t="s">
        <v>144</v>
      </c>
      <c r="E48" s="40" t="s">
        <v>145</v>
      </c>
      <c r="F48" s="49" t="s">
        <v>22</v>
      </c>
      <c r="G48" s="50" t="str">
        <f>CONCATENATE(Table1[[#This Row],[Asset ID]], " ", Table1[[#This Row],[Serial Number]], " ",  Table1[[#This Row],[Customer Name]])</f>
        <v>T118692 PF5KB1VG   Humble ISD</v>
      </c>
      <c r="H48" s="49"/>
      <c r="I48" s="49" t="s">
        <v>23</v>
      </c>
      <c r="J48" s="49" t="s">
        <v>24</v>
      </c>
      <c r="K48" s="11" t="s">
        <v>25</v>
      </c>
      <c r="L48" s="41" t="s">
        <v>85</v>
      </c>
      <c r="M48" s="42">
        <v>46175</v>
      </c>
      <c r="N48" s="55" t="s">
        <v>143</v>
      </c>
      <c r="O48" s="40" t="s">
        <v>146</v>
      </c>
      <c r="P48" s="43"/>
      <c r="Q48" s="51"/>
      <c r="R48" s="51"/>
    </row>
    <row r="49" spans="1:18" ht="15.75">
      <c r="A49" s="33"/>
      <c r="B49" s="49" t="s">
        <v>18</v>
      </c>
      <c r="C49" s="49" t="s">
        <v>19</v>
      </c>
      <c r="D49" s="39" t="s">
        <v>147</v>
      </c>
      <c r="E49" s="40" t="s">
        <v>148</v>
      </c>
      <c r="F49" s="49" t="s">
        <v>22</v>
      </c>
      <c r="G49" s="50" t="str">
        <f>CONCATENATE(Table1[[#This Row],[Asset ID]], " ", Table1[[#This Row],[Serial Number]], " ",  Table1[[#This Row],[Customer Name]])</f>
        <v>T112041 PF50RVEL   Humble ISD</v>
      </c>
      <c r="H49" s="49"/>
      <c r="I49" s="49" t="s">
        <v>23</v>
      </c>
      <c r="J49" s="49" t="s">
        <v>24</v>
      </c>
      <c r="K49" s="11" t="s">
        <v>25</v>
      </c>
      <c r="L49" s="41" t="s">
        <v>33</v>
      </c>
      <c r="M49" s="42">
        <v>46175</v>
      </c>
      <c r="N49" s="55" t="s">
        <v>143</v>
      </c>
      <c r="O49" s="40" t="s">
        <v>76</v>
      </c>
      <c r="P49" s="43"/>
      <c r="Q49" s="51"/>
      <c r="R49" s="51"/>
    </row>
    <row r="50" spans="1:18" ht="15.75">
      <c r="A50" s="33"/>
      <c r="B50" s="49" t="s">
        <v>18</v>
      </c>
      <c r="C50" s="49" t="s">
        <v>19</v>
      </c>
      <c r="D50" s="39" t="s">
        <v>149</v>
      </c>
      <c r="E50" s="40" t="s">
        <v>150</v>
      </c>
      <c r="F50" s="49" t="s">
        <v>22</v>
      </c>
      <c r="G50" s="50" t="str">
        <f>CONCATENATE(Table1[[#This Row],[Asset ID]], " ", Table1[[#This Row],[Serial Number]], " ",  Table1[[#This Row],[Customer Name]])</f>
        <v>T112279 PF50PWDC   Humble ISD</v>
      </c>
      <c r="H50" s="49"/>
      <c r="I50" s="49" t="s">
        <v>23</v>
      </c>
      <c r="J50" s="49" t="s">
        <v>24</v>
      </c>
      <c r="K50" s="11" t="s">
        <v>25</v>
      </c>
      <c r="L50" s="41" t="s">
        <v>33</v>
      </c>
      <c r="M50" s="42">
        <v>46175</v>
      </c>
      <c r="N50" s="55" t="s">
        <v>143</v>
      </c>
      <c r="O50" s="40" t="s">
        <v>76</v>
      </c>
      <c r="P50" s="43"/>
      <c r="Q50" s="51"/>
      <c r="R50" s="51"/>
    </row>
    <row r="51" spans="1:18" ht="15.75">
      <c r="A51" s="33"/>
      <c r="B51" s="49" t="s">
        <v>18</v>
      </c>
      <c r="C51" s="49" t="s">
        <v>19</v>
      </c>
      <c r="D51" s="39" t="s">
        <v>151</v>
      </c>
      <c r="E51" s="40" t="s">
        <v>152</v>
      </c>
      <c r="F51" s="49" t="s">
        <v>22</v>
      </c>
      <c r="G51" s="50" t="str">
        <f>CONCATENATE(Table1[[#This Row],[Asset ID]], " ", Table1[[#This Row],[Serial Number]], " ",  Table1[[#This Row],[Customer Name]])</f>
        <v>T61622 MP255KPM   Humble ISD</v>
      </c>
      <c r="H51" s="49"/>
      <c r="I51" s="49" t="s">
        <v>23</v>
      </c>
      <c r="J51" s="49" t="s">
        <v>24</v>
      </c>
      <c r="K51" s="11" t="s">
        <v>25</v>
      </c>
      <c r="L51" s="41" t="s">
        <v>26</v>
      </c>
      <c r="M51" s="42">
        <v>46175</v>
      </c>
      <c r="N51" s="55" t="s">
        <v>143</v>
      </c>
      <c r="O51" s="40" t="s">
        <v>28</v>
      </c>
      <c r="P51" s="43"/>
      <c r="Q51" s="51"/>
      <c r="R51" s="51"/>
    </row>
    <row r="52" spans="1:18" ht="15.75">
      <c r="A52" s="33"/>
      <c r="B52" s="49" t="s">
        <v>18</v>
      </c>
      <c r="C52" s="49" t="s">
        <v>19</v>
      </c>
      <c r="D52" s="39" t="s">
        <v>153</v>
      </c>
      <c r="E52" s="40" t="s">
        <v>154</v>
      </c>
      <c r="F52" s="49" t="s">
        <v>22</v>
      </c>
      <c r="G52" s="50" t="str">
        <f>CONCATENATE(Table1[[#This Row],[Asset ID]], " ", Table1[[#This Row],[Serial Number]], " ",  Table1[[#This Row],[Customer Name]])</f>
        <v>T60582 MP25AGDE   Humble ISD</v>
      </c>
      <c r="H52" s="49"/>
      <c r="I52" s="49" t="s">
        <v>23</v>
      </c>
      <c r="J52" s="49" t="s">
        <v>24</v>
      </c>
      <c r="K52" s="11" t="s">
        <v>25</v>
      </c>
      <c r="L52" s="41" t="s">
        <v>26</v>
      </c>
      <c r="M52" s="42">
        <v>46175</v>
      </c>
      <c r="N52" s="55" t="s">
        <v>155</v>
      </c>
      <c r="O52" s="40" t="s">
        <v>28</v>
      </c>
      <c r="P52" s="43"/>
      <c r="Q52" s="51"/>
      <c r="R52" s="51"/>
    </row>
    <row r="53" spans="1:18" ht="15.75">
      <c r="A53" s="33"/>
      <c r="B53" s="49" t="s">
        <v>18</v>
      </c>
      <c r="C53" s="49" t="s">
        <v>19</v>
      </c>
      <c r="D53" s="39" t="s">
        <v>156</v>
      </c>
      <c r="E53" s="40" t="s">
        <v>157</v>
      </c>
      <c r="F53" s="49" t="s">
        <v>22</v>
      </c>
      <c r="G53" s="50" t="str">
        <f>CONCATENATE(Table1[[#This Row],[Asset ID]], " ", Table1[[#This Row],[Serial Number]], " ",  Table1[[#This Row],[Customer Name]])</f>
        <v>T59627 MP25AEPV   Humble ISD</v>
      </c>
      <c r="H53" s="49"/>
      <c r="I53" s="49" t="s">
        <v>23</v>
      </c>
      <c r="J53" s="49" t="s">
        <v>24</v>
      </c>
      <c r="K53" s="11" t="s">
        <v>25</v>
      </c>
      <c r="L53" s="41" t="s">
        <v>26</v>
      </c>
      <c r="M53" s="42">
        <v>46175</v>
      </c>
      <c r="N53" s="55" t="s">
        <v>155</v>
      </c>
      <c r="O53" s="40" t="s">
        <v>28</v>
      </c>
      <c r="P53" s="43"/>
      <c r="Q53" s="51"/>
      <c r="R53" s="51"/>
    </row>
    <row r="54" spans="1:18" ht="15.75">
      <c r="A54" s="33"/>
      <c r="B54" s="49" t="s">
        <v>18</v>
      </c>
      <c r="C54" s="49" t="s">
        <v>19</v>
      </c>
      <c r="D54" s="39" t="s">
        <v>158</v>
      </c>
      <c r="E54" s="40" t="s">
        <v>159</v>
      </c>
      <c r="F54" s="49" t="s">
        <v>22</v>
      </c>
      <c r="G54" s="50" t="str">
        <f>CONCATENATE(Table1[[#This Row],[Asset ID]], " ", Table1[[#This Row],[Serial Number]], " ",  Table1[[#This Row],[Customer Name]])</f>
        <v>T60414 MP255DA7   Humble ISD</v>
      </c>
      <c r="H54" s="49"/>
      <c r="I54" s="49" t="s">
        <v>23</v>
      </c>
      <c r="J54" s="49" t="s">
        <v>24</v>
      </c>
      <c r="K54" s="11" t="s">
        <v>25</v>
      </c>
      <c r="L54" s="41" t="s">
        <v>26</v>
      </c>
      <c r="M54" s="42">
        <v>46175</v>
      </c>
      <c r="N54" s="55" t="s">
        <v>155</v>
      </c>
      <c r="O54" s="40" t="s">
        <v>28</v>
      </c>
      <c r="P54" s="43"/>
      <c r="Q54" s="51"/>
      <c r="R54" s="51"/>
    </row>
    <row r="55" spans="1:18" ht="15.75">
      <c r="A55" s="33"/>
      <c r="B55" s="49" t="s">
        <v>18</v>
      </c>
      <c r="C55" s="49" t="s">
        <v>19</v>
      </c>
      <c r="D55" s="39" t="s">
        <v>160</v>
      </c>
      <c r="E55" s="40" t="s">
        <v>161</v>
      </c>
      <c r="F55" s="49" t="s">
        <v>22</v>
      </c>
      <c r="G55" s="50" t="str">
        <f>CONCATENATE(Table1[[#This Row],[Asset ID]], " ", Table1[[#This Row],[Serial Number]], " ",  Table1[[#This Row],[Customer Name]])</f>
        <v>n/a MP25AFQ4   Humble ISD</v>
      </c>
      <c r="H55" s="49"/>
      <c r="I55" s="49" t="s">
        <v>23</v>
      </c>
      <c r="J55" s="49" t="s">
        <v>24</v>
      </c>
      <c r="K55" s="11" t="s">
        <v>25</v>
      </c>
      <c r="L55" s="41" t="s">
        <v>26</v>
      </c>
      <c r="M55" s="42">
        <v>46175</v>
      </c>
      <c r="N55" s="55" t="s">
        <v>155</v>
      </c>
      <c r="O55" s="40" t="s">
        <v>28</v>
      </c>
      <c r="P55" s="43"/>
      <c r="Q55" s="51"/>
      <c r="R55" s="51"/>
    </row>
    <row r="56" spans="1:18" ht="15.75">
      <c r="A56" s="33"/>
      <c r="B56" s="49" t="s">
        <v>18</v>
      </c>
      <c r="C56" s="49" t="s">
        <v>19</v>
      </c>
      <c r="D56" s="39" t="s">
        <v>162</v>
      </c>
      <c r="E56" s="40" t="s">
        <v>163</v>
      </c>
      <c r="F56" s="49" t="s">
        <v>22</v>
      </c>
      <c r="G56" s="50" t="str">
        <f>CONCATENATE(Table1[[#This Row],[Asset ID]], " ", Table1[[#This Row],[Serial Number]], " ",  Table1[[#This Row],[Customer Name]])</f>
        <v>T59902 MP255KQ4   Humble ISD</v>
      </c>
      <c r="H56" s="49"/>
      <c r="I56" s="49" t="s">
        <v>23</v>
      </c>
      <c r="J56" s="49" t="s">
        <v>24</v>
      </c>
      <c r="K56" s="11" t="s">
        <v>25</v>
      </c>
      <c r="L56" s="41" t="s">
        <v>26</v>
      </c>
      <c r="M56" s="42">
        <v>46175</v>
      </c>
      <c r="N56" s="55" t="s">
        <v>155</v>
      </c>
      <c r="O56" s="40" t="s">
        <v>28</v>
      </c>
      <c r="P56" s="43"/>
      <c r="Q56" s="51"/>
      <c r="R56" s="51"/>
    </row>
    <row r="57" spans="1:18" ht="15.75">
      <c r="A57" s="33"/>
      <c r="B57" s="49" t="s">
        <v>18</v>
      </c>
      <c r="C57" s="49" t="s">
        <v>19</v>
      </c>
      <c r="D57" s="39" t="s">
        <v>164</v>
      </c>
      <c r="E57" s="40" t="s">
        <v>165</v>
      </c>
      <c r="F57" s="49" t="s">
        <v>22</v>
      </c>
      <c r="G57" s="50" t="str">
        <f>CONCATENATE(Table1[[#This Row],[Asset ID]], " ", Table1[[#This Row],[Serial Number]], " ",  Table1[[#This Row],[Customer Name]])</f>
        <v>T59575 MP25L9Z5   Humble ISD</v>
      </c>
      <c r="H57" s="49"/>
      <c r="I57" s="49" t="s">
        <v>23</v>
      </c>
      <c r="J57" s="49" t="s">
        <v>24</v>
      </c>
      <c r="K57" s="11" t="s">
        <v>25</v>
      </c>
      <c r="L57" s="41" t="s">
        <v>26</v>
      </c>
      <c r="M57" s="42">
        <v>46175</v>
      </c>
      <c r="N57" s="55" t="s">
        <v>166</v>
      </c>
      <c r="O57" s="40" t="s">
        <v>28</v>
      </c>
      <c r="P57" s="43"/>
      <c r="Q57" s="51"/>
      <c r="R57" s="51"/>
    </row>
    <row r="58" spans="1:18" ht="15.75">
      <c r="A58" s="33"/>
      <c r="B58" s="49" t="s">
        <v>18</v>
      </c>
      <c r="C58" s="49" t="s">
        <v>19</v>
      </c>
      <c r="D58" s="39" t="s">
        <v>167</v>
      </c>
      <c r="E58" s="40" t="s">
        <v>168</v>
      </c>
      <c r="F58" s="49" t="s">
        <v>22</v>
      </c>
      <c r="G58" s="50" t="str">
        <f>CONCATENATE(Table1[[#This Row],[Asset ID]], " ", Table1[[#This Row],[Serial Number]], " ",  Table1[[#This Row],[Customer Name]])</f>
        <v>T59715 MP25FR5V   Humble ISD</v>
      </c>
      <c r="H58" s="49"/>
      <c r="I58" s="49" t="s">
        <v>23</v>
      </c>
      <c r="J58" s="49" t="s">
        <v>24</v>
      </c>
      <c r="K58" s="11" t="s">
        <v>25</v>
      </c>
      <c r="L58" s="41" t="s">
        <v>26</v>
      </c>
      <c r="M58" s="42">
        <v>46175</v>
      </c>
      <c r="N58" s="55" t="s">
        <v>166</v>
      </c>
      <c r="O58" s="40" t="s">
        <v>28</v>
      </c>
      <c r="P58" s="43"/>
      <c r="Q58" s="51"/>
      <c r="R58" s="51"/>
    </row>
    <row r="59" spans="1:18" ht="15.75">
      <c r="A59" s="33"/>
      <c r="B59" s="49" t="s">
        <v>18</v>
      </c>
      <c r="C59" s="49" t="s">
        <v>19</v>
      </c>
      <c r="D59" s="39" t="s">
        <v>169</v>
      </c>
      <c r="E59" s="40" t="s">
        <v>170</v>
      </c>
      <c r="F59" s="49" t="s">
        <v>22</v>
      </c>
      <c r="G59" s="50" t="str">
        <f>CONCATENATE(Table1[[#This Row],[Asset ID]], " ", Table1[[#This Row],[Serial Number]], " ",  Table1[[#This Row],[Customer Name]])</f>
        <v>T59805 MP25AHKQ   Humble ISD</v>
      </c>
      <c r="H59" s="49"/>
      <c r="I59" s="49" t="s">
        <v>23</v>
      </c>
      <c r="J59" s="49" t="s">
        <v>24</v>
      </c>
      <c r="K59" s="11" t="s">
        <v>25</v>
      </c>
      <c r="L59" s="41" t="s">
        <v>26</v>
      </c>
      <c r="M59" s="42">
        <v>46175</v>
      </c>
      <c r="N59" s="55" t="s">
        <v>166</v>
      </c>
      <c r="O59" s="40" t="s">
        <v>28</v>
      </c>
      <c r="P59" s="43"/>
      <c r="Q59" s="51"/>
      <c r="R59" s="51"/>
    </row>
    <row r="60" spans="1:18" ht="15.75">
      <c r="A60" s="33"/>
      <c r="B60" s="49" t="s">
        <v>18</v>
      </c>
      <c r="C60" s="49" t="s">
        <v>19</v>
      </c>
      <c r="D60" s="39" t="s">
        <v>171</v>
      </c>
      <c r="E60" s="40" t="s">
        <v>172</v>
      </c>
      <c r="F60" s="49" t="s">
        <v>22</v>
      </c>
      <c r="G60" s="50" t="str">
        <f>CONCATENATE(Table1[[#This Row],[Asset ID]], " ", Table1[[#This Row],[Serial Number]], " ",  Table1[[#This Row],[Customer Name]])</f>
        <v>T115899 pf594rfk   Humble ISD</v>
      </c>
      <c r="H60" s="49"/>
      <c r="I60" s="49" t="s">
        <v>23</v>
      </c>
      <c r="J60" s="49" t="s">
        <v>24</v>
      </c>
      <c r="K60" s="11" t="s">
        <v>25</v>
      </c>
      <c r="L60" s="41" t="s">
        <v>85</v>
      </c>
      <c r="M60" s="42">
        <v>46177</v>
      </c>
      <c r="N60" s="56" t="s">
        <v>173</v>
      </c>
      <c r="O60" s="40" t="s">
        <v>174</v>
      </c>
      <c r="P60" s="43"/>
      <c r="Q60" s="51"/>
      <c r="R60" s="51"/>
    </row>
    <row r="61" spans="1:18" ht="15.75">
      <c r="A61" s="33"/>
      <c r="B61" s="49" t="s">
        <v>18</v>
      </c>
      <c r="C61" s="49" t="s">
        <v>19</v>
      </c>
      <c r="D61" s="39" t="s">
        <v>175</v>
      </c>
      <c r="E61" s="40" t="s">
        <v>176</v>
      </c>
      <c r="F61" s="49" t="s">
        <v>22</v>
      </c>
      <c r="G61" s="50" t="str">
        <f>CONCATENATE(Table1[[#This Row],[Asset ID]], " ", Table1[[#This Row],[Serial Number]], " ",  Table1[[#This Row],[Customer Name]])</f>
        <v>t65098 PF404K0S   Humble ISD</v>
      </c>
      <c r="H61" s="49"/>
      <c r="I61" s="49" t="s">
        <v>23</v>
      </c>
      <c r="J61" s="49" t="s">
        <v>24</v>
      </c>
      <c r="K61" s="11" t="s">
        <v>25</v>
      </c>
      <c r="L61" s="41" t="s">
        <v>33</v>
      </c>
      <c r="M61" s="42">
        <v>46177</v>
      </c>
      <c r="N61" s="56" t="s">
        <v>173</v>
      </c>
      <c r="O61" s="40" t="s">
        <v>40</v>
      </c>
      <c r="P61" s="43"/>
      <c r="Q61" s="51"/>
      <c r="R61" s="51"/>
    </row>
    <row r="62" spans="1:18" ht="15.75">
      <c r="A62" s="33"/>
      <c r="B62" s="49" t="s">
        <v>18</v>
      </c>
      <c r="C62" s="49" t="s">
        <v>19</v>
      </c>
      <c r="D62" s="39"/>
      <c r="E62" s="40" t="s">
        <v>177</v>
      </c>
      <c r="F62" s="49" t="s">
        <v>22</v>
      </c>
      <c r="G62" s="50" t="str">
        <f>CONCATENATE(Table1[[#This Row],[Asset ID]], " ", Table1[[#This Row],[Serial Number]], " ",  Table1[[#This Row],[Customer Name]])</f>
        <v xml:space="preserve"> PF3ZRSAW   Humble ISD</v>
      </c>
      <c r="H62" s="49"/>
      <c r="I62" s="49" t="s">
        <v>23</v>
      </c>
      <c r="J62" s="49" t="s">
        <v>24</v>
      </c>
      <c r="K62" s="11" t="s">
        <v>25</v>
      </c>
      <c r="L62" s="41" t="s">
        <v>33</v>
      </c>
      <c r="M62" s="42">
        <v>46177</v>
      </c>
      <c r="N62" s="56" t="s">
        <v>173</v>
      </c>
      <c r="O62" s="40" t="s">
        <v>40</v>
      </c>
      <c r="P62" s="43"/>
      <c r="Q62" s="51"/>
      <c r="R62" s="51"/>
    </row>
    <row r="63" spans="1:18" ht="15.75">
      <c r="A63" s="33"/>
      <c r="B63" s="49" t="s">
        <v>18</v>
      </c>
      <c r="C63" s="49" t="s">
        <v>19</v>
      </c>
      <c r="D63" s="39" t="s">
        <v>178</v>
      </c>
      <c r="E63" s="40" t="s">
        <v>179</v>
      </c>
      <c r="F63" s="49" t="s">
        <v>22</v>
      </c>
      <c r="G63" s="50" t="str">
        <f>CONCATENATE(Table1[[#This Row],[Asset ID]], " ", Table1[[#This Row],[Serial Number]], " ",  Table1[[#This Row],[Customer Name]])</f>
        <v>t62800 PF3ZRBKX   Humble ISD</v>
      </c>
      <c r="H63" s="49"/>
      <c r="I63" s="49" t="s">
        <v>23</v>
      </c>
      <c r="J63" s="49" t="s">
        <v>24</v>
      </c>
      <c r="K63" s="11" t="s">
        <v>25</v>
      </c>
      <c r="L63" s="41" t="s">
        <v>33</v>
      </c>
      <c r="M63" s="42">
        <v>46177</v>
      </c>
      <c r="N63" s="56" t="s">
        <v>173</v>
      </c>
      <c r="O63" s="40" t="s">
        <v>40</v>
      </c>
      <c r="P63" s="43"/>
      <c r="Q63" s="51"/>
      <c r="R63" s="51"/>
    </row>
    <row r="64" spans="1:18" ht="15.75">
      <c r="A64" s="33"/>
      <c r="B64" s="49" t="s">
        <v>18</v>
      </c>
      <c r="C64" s="49" t="s">
        <v>19</v>
      </c>
      <c r="D64" s="39" t="s">
        <v>180</v>
      </c>
      <c r="E64" s="40" t="s">
        <v>181</v>
      </c>
      <c r="F64" s="49" t="s">
        <v>22</v>
      </c>
      <c r="G64" s="50" t="str">
        <f>CONCATENATE(Table1[[#This Row],[Asset ID]], " ", Table1[[#This Row],[Serial Number]], " ",  Table1[[#This Row],[Customer Name]])</f>
        <v>t111994 PF50E494   Humble ISD</v>
      </c>
      <c r="H64" s="49"/>
      <c r="I64" s="49" t="s">
        <v>23</v>
      </c>
      <c r="J64" s="49" t="s">
        <v>24</v>
      </c>
      <c r="K64" s="11" t="s">
        <v>25</v>
      </c>
      <c r="L64" s="41" t="s">
        <v>33</v>
      </c>
      <c r="M64" s="42">
        <v>46177</v>
      </c>
      <c r="N64" s="56" t="s">
        <v>173</v>
      </c>
      <c r="O64" s="40" t="s">
        <v>76</v>
      </c>
      <c r="P64" s="43"/>
      <c r="Q64" s="51"/>
      <c r="R64" s="51"/>
    </row>
    <row r="65" spans="1:18" ht="15.75">
      <c r="A65" s="33"/>
      <c r="B65" s="49" t="s">
        <v>18</v>
      </c>
      <c r="C65" s="49" t="s">
        <v>19</v>
      </c>
      <c r="D65" s="39" t="s">
        <v>182</v>
      </c>
      <c r="E65" s="40" t="s">
        <v>183</v>
      </c>
      <c r="F65" s="49" t="s">
        <v>22</v>
      </c>
      <c r="G65" s="50" t="str">
        <f>CONCATENATE(Table1[[#This Row],[Asset ID]], " ", Table1[[#This Row],[Serial Number]], " ",  Table1[[#This Row],[Customer Name]])</f>
        <v>t112019 PF50P9YP   Humble ISD</v>
      </c>
      <c r="H65" s="49"/>
      <c r="I65" s="49" t="s">
        <v>23</v>
      </c>
      <c r="J65" s="49" t="s">
        <v>24</v>
      </c>
      <c r="K65" s="11" t="s">
        <v>25</v>
      </c>
      <c r="L65" s="41" t="s">
        <v>33</v>
      </c>
      <c r="M65" s="42">
        <v>46177</v>
      </c>
      <c r="N65" s="56" t="s">
        <v>184</v>
      </c>
      <c r="O65" s="40" t="s">
        <v>76</v>
      </c>
      <c r="P65" s="43"/>
      <c r="Q65" s="51"/>
      <c r="R65" s="51"/>
    </row>
    <row r="66" spans="1:18" ht="15.75">
      <c r="A66" s="33"/>
      <c r="B66" s="49" t="s">
        <v>18</v>
      </c>
      <c r="C66" s="49" t="s">
        <v>19</v>
      </c>
      <c r="D66" s="39" t="s">
        <v>185</v>
      </c>
      <c r="E66" s="40" t="s">
        <v>186</v>
      </c>
      <c r="F66" s="49" t="s">
        <v>22</v>
      </c>
      <c r="G66" s="50" t="str">
        <f>CONCATENATE(Table1[[#This Row],[Asset ID]], " ", Table1[[#This Row],[Serial Number]], " ",  Table1[[#This Row],[Customer Name]])</f>
        <v>t115818 PF594TR1   Humble ISD</v>
      </c>
      <c r="H66" s="49"/>
      <c r="I66" s="49" t="s">
        <v>23</v>
      </c>
      <c r="J66" s="49" t="s">
        <v>24</v>
      </c>
      <c r="K66" s="11" t="s">
        <v>25</v>
      </c>
      <c r="L66" s="41" t="s">
        <v>85</v>
      </c>
      <c r="M66" s="42">
        <v>46177</v>
      </c>
      <c r="N66" s="56" t="s">
        <v>184</v>
      </c>
      <c r="O66" s="40" t="s">
        <v>174</v>
      </c>
      <c r="P66" s="43"/>
      <c r="Q66" s="51"/>
      <c r="R66" s="51"/>
    </row>
    <row r="67" spans="1:18" ht="15.75">
      <c r="A67" s="33"/>
      <c r="B67" s="49" t="s">
        <v>18</v>
      </c>
      <c r="C67" s="49" t="s">
        <v>19</v>
      </c>
      <c r="D67" s="39" t="s">
        <v>187</v>
      </c>
      <c r="E67" s="40" t="s">
        <v>188</v>
      </c>
      <c r="F67" s="49" t="s">
        <v>22</v>
      </c>
      <c r="G67" s="50" t="str">
        <f>CONCATENATE(Table1[[#This Row],[Asset ID]], " ", Table1[[#This Row],[Serial Number]], " ",  Table1[[#This Row],[Customer Name]])</f>
        <v>t111522 PF50P3LZ   Humble ISD</v>
      </c>
      <c r="H67" s="49"/>
      <c r="I67" s="49" t="s">
        <v>23</v>
      </c>
      <c r="J67" s="49" t="s">
        <v>24</v>
      </c>
      <c r="K67" s="11" t="s">
        <v>25</v>
      </c>
      <c r="L67" s="41" t="s">
        <v>33</v>
      </c>
      <c r="M67" s="42">
        <v>46177</v>
      </c>
      <c r="N67" s="56" t="s">
        <v>184</v>
      </c>
      <c r="O67" s="40" t="s">
        <v>136</v>
      </c>
      <c r="P67" s="43"/>
      <c r="Q67" s="51"/>
      <c r="R67" s="51"/>
    </row>
    <row r="68" spans="1:18" ht="15.75">
      <c r="A68" s="33"/>
      <c r="B68" s="49" t="s">
        <v>18</v>
      </c>
      <c r="C68" s="49" t="s">
        <v>19</v>
      </c>
      <c r="D68" s="39" t="s">
        <v>189</v>
      </c>
      <c r="E68" s="40" t="s">
        <v>190</v>
      </c>
      <c r="F68" s="49" t="s">
        <v>22</v>
      </c>
      <c r="G68" s="50" t="str">
        <f>CONCATENATE(Table1[[#This Row],[Asset ID]], " ", Table1[[#This Row],[Serial Number]], " ",  Table1[[#This Row],[Customer Name]])</f>
        <v>t105269 PF4DV3E0   Humble ISD</v>
      </c>
      <c r="H68" s="49"/>
      <c r="I68" s="49" t="s">
        <v>23</v>
      </c>
      <c r="J68" s="49" t="s">
        <v>24</v>
      </c>
      <c r="K68" s="11" t="s">
        <v>25</v>
      </c>
      <c r="L68" s="41" t="s">
        <v>33</v>
      </c>
      <c r="M68" s="42">
        <v>46177</v>
      </c>
      <c r="N68" s="56" t="s">
        <v>184</v>
      </c>
      <c r="O68" s="40" t="s">
        <v>191</v>
      </c>
      <c r="P68" s="43"/>
      <c r="Q68" s="51"/>
      <c r="R68" s="51"/>
    </row>
    <row r="69" spans="1:18" ht="15.75">
      <c r="A69" s="33"/>
      <c r="B69" s="49" t="s">
        <v>18</v>
      </c>
      <c r="C69" s="49" t="s">
        <v>19</v>
      </c>
      <c r="D69" s="39" t="s">
        <v>192</v>
      </c>
      <c r="E69" s="40" t="s">
        <v>193</v>
      </c>
      <c r="F69" s="49" t="s">
        <v>22</v>
      </c>
      <c r="G69" s="50" t="str">
        <f>CONCATENATE(Table1[[#This Row],[Asset ID]], " ", Table1[[#This Row],[Serial Number]], " ",  Table1[[#This Row],[Customer Name]])</f>
        <v>t57738 PF45MLMM   Humble ISD</v>
      </c>
      <c r="H69" s="49"/>
      <c r="I69" s="49" t="s">
        <v>23</v>
      </c>
      <c r="J69" s="49" t="s">
        <v>24</v>
      </c>
      <c r="K69" s="11" t="s">
        <v>25</v>
      </c>
      <c r="L69" s="41" t="s">
        <v>33</v>
      </c>
      <c r="M69" s="42">
        <v>46177</v>
      </c>
      <c r="N69" s="56" t="s">
        <v>184</v>
      </c>
      <c r="O69" s="40" t="s">
        <v>194</v>
      </c>
      <c r="P69" s="43"/>
      <c r="Q69" s="51"/>
      <c r="R69" s="51"/>
    </row>
    <row r="70" spans="1:18" ht="15.75">
      <c r="A70" s="33"/>
      <c r="B70" s="49" t="s">
        <v>18</v>
      </c>
      <c r="C70" s="49" t="s">
        <v>19</v>
      </c>
      <c r="D70" s="39" t="s">
        <v>195</v>
      </c>
      <c r="E70" s="40" t="s">
        <v>196</v>
      </c>
      <c r="F70" s="49" t="s">
        <v>22</v>
      </c>
      <c r="G70" s="50" t="str">
        <f>CONCATENATE(Table1[[#This Row],[Asset ID]], " ", Table1[[#This Row],[Serial Number]], " ",  Table1[[#This Row],[Customer Name]])</f>
        <v>t64985 PF3ZQNWV   Humble ISD</v>
      </c>
      <c r="H70" s="49"/>
      <c r="I70" s="49" t="s">
        <v>23</v>
      </c>
      <c r="J70" s="49" t="s">
        <v>24</v>
      </c>
      <c r="K70" s="11" t="s">
        <v>25</v>
      </c>
      <c r="L70" s="41" t="s">
        <v>33</v>
      </c>
      <c r="M70" s="42">
        <v>46177</v>
      </c>
      <c r="N70" s="56" t="s">
        <v>197</v>
      </c>
      <c r="O70" s="40" t="s">
        <v>40</v>
      </c>
      <c r="P70" s="43"/>
      <c r="Q70" s="51"/>
      <c r="R70" s="51"/>
    </row>
    <row r="71" spans="1:18" ht="15.75">
      <c r="A71" s="33"/>
      <c r="B71" s="49" t="s">
        <v>18</v>
      </c>
      <c r="C71" s="49" t="s">
        <v>19</v>
      </c>
      <c r="D71" s="39" t="s">
        <v>198</v>
      </c>
      <c r="E71" s="40" t="s">
        <v>199</v>
      </c>
      <c r="F71" s="49" t="s">
        <v>22</v>
      </c>
      <c r="G71" s="50" t="str">
        <f>CONCATENATE(Table1[[#This Row],[Asset ID]], " ", Table1[[#This Row],[Serial Number]], " ",  Table1[[#This Row],[Customer Name]])</f>
        <v>t63084 PF3ZQ2E0   Humble ISD</v>
      </c>
      <c r="H71" s="49"/>
      <c r="I71" s="49" t="s">
        <v>23</v>
      </c>
      <c r="J71" s="49" t="s">
        <v>24</v>
      </c>
      <c r="K71" s="11" t="s">
        <v>25</v>
      </c>
      <c r="L71" s="41" t="s">
        <v>33</v>
      </c>
      <c r="M71" s="42">
        <v>46177</v>
      </c>
      <c r="N71" s="56" t="s">
        <v>197</v>
      </c>
      <c r="O71" s="40" t="s">
        <v>40</v>
      </c>
      <c r="P71" s="43"/>
      <c r="Q71" s="51"/>
      <c r="R71" s="51"/>
    </row>
    <row r="72" spans="1:18" ht="15.75">
      <c r="A72" s="33"/>
      <c r="B72" s="49" t="s">
        <v>18</v>
      </c>
      <c r="C72" s="49" t="s">
        <v>19</v>
      </c>
      <c r="D72" s="39" t="s">
        <v>200</v>
      </c>
      <c r="E72" s="40" t="s">
        <v>201</v>
      </c>
      <c r="F72" s="49" t="s">
        <v>22</v>
      </c>
      <c r="G72" s="50" t="str">
        <f>CONCATENATE(Table1[[#This Row],[Asset ID]], " ", Table1[[#This Row],[Serial Number]], " ",  Table1[[#This Row],[Customer Name]])</f>
        <v>t65012 PF4014YY   Humble ISD</v>
      </c>
      <c r="H72" s="49"/>
      <c r="I72" s="49" t="s">
        <v>23</v>
      </c>
      <c r="J72" s="49" t="s">
        <v>24</v>
      </c>
      <c r="K72" s="11" t="s">
        <v>25</v>
      </c>
      <c r="L72" s="41" t="s">
        <v>33</v>
      </c>
      <c r="M72" s="42">
        <v>46177</v>
      </c>
      <c r="N72" s="56" t="s">
        <v>197</v>
      </c>
      <c r="O72" s="40" t="s">
        <v>40</v>
      </c>
      <c r="P72" s="43"/>
      <c r="Q72" s="51"/>
      <c r="R72" s="51"/>
    </row>
    <row r="73" spans="1:18" ht="15.75">
      <c r="A73" s="33"/>
      <c r="B73" s="49" t="s">
        <v>18</v>
      </c>
      <c r="C73" s="49" t="s">
        <v>19</v>
      </c>
      <c r="D73" s="39" t="s">
        <v>202</v>
      </c>
      <c r="E73" s="40" t="s">
        <v>203</v>
      </c>
      <c r="F73" s="49" t="s">
        <v>22</v>
      </c>
      <c r="G73" s="50" t="str">
        <f>CONCATENATE(Table1[[#This Row],[Asset ID]], " ", Table1[[#This Row],[Serial Number]], " ",  Table1[[#This Row],[Customer Name]])</f>
        <v>t106733 PF4YFA2V   Humble ISD</v>
      </c>
      <c r="H73" s="51"/>
      <c r="I73" s="49" t="s">
        <v>23</v>
      </c>
      <c r="J73" s="49" t="s">
        <v>24</v>
      </c>
      <c r="K73" s="11" t="s">
        <v>25</v>
      </c>
      <c r="L73" s="41" t="s">
        <v>33</v>
      </c>
      <c r="M73" s="42">
        <v>46177</v>
      </c>
      <c r="N73" s="56" t="s">
        <v>197</v>
      </c>
      <c r="O73" s="40" t="s">
        <v>49</v>
      </c>
      <c r="P73" s="50"/>
      <c r="Q73" s="51"/>
      <c r="R73" s="51"/>
    </row>
    <row r="74" spans="1:18" ht="15.75">
      <c r="A74" s="33"/>
      <c r="B74" s="49" t="s">
        <v>18</v>
      </c>
      <c r="C74" s="49" t="s">
        <v>19</v>
      </c>
      <c r="D74" s="39" t="s">
        <v>204</v>
      </c>
      <c r="E74" s="40" t="s">
        <v>205</v>
      </c>
      <c r="F74" s="49" t="s">
        <v>22</v>
      </c>
      <c r="G74" s="50" t="str">
        <f>CONCATENATE(Table1[[#This Row],[Asset ID]], " ", Table1[[#This Row],[Serial Number]], " ",  Table1[[#This Row],[Customer Name]])</f>
        <v>t110879 PF4YFCAY   Humble ISD</v>
      </c>
      <c r="H74" s="51"/>
      <c r="I74" s="49" t="s">
        <v>23</v>
      </c>
      <c r="J74" s="49" t="s">
        <v>24</v>
      </c>
      <c r="K74" s="11" t="s">
        <v>25</v>
      </c>
      <c r="L74" s="41" t="s">
        <v>33</v>
      </c>
      <c r="M74" s="42">
        <v>46177</v>
      </c>
      <c r="N74" s="56" t="s">
        <v>197</v>
      </c>
      <c r="O74" s="40" t="s">
        <v>102</v>
      </c>
      <c r="P74" s="50"/>
      <c r="Q74" s="51"/>
      <c r="R74" s="51"/>
    </row>
    <row r="75" spans="1:18" ht="15.75">
      <c r="A75" s="33"/>
      <c r="B75" s="49" t="s">
        <v>18</v>
      </c>
      <c r="C75" s="49" t="s">
        <v>19</v>
      </c>
      <c r="D75" s="39" t="s">
        <v>206</v>
      </c>
      <c r="E75" s="40" t="s">
        <v>207</v>
      </c>
      <c r="F75" s="49" t="s">
        <v>22</v>
      </c>
      <c r="G75" s="50" t="str">
        <f>CONCATENATE(Table1[[#This Row],[Asset ID]], " ", Table1[[#This Row],[Serial Number]], " ",  Table1[[#This Row],[Customer Name]])</f>
        <v>t112309 PF50A94P   Humble ISD</v>
      </c>
      <c r="H75" s="51"/>
      <c r="I75" s="49" t="s">
        <v>23</v>
      </c>
      <c r="J75" s="49" t="s">
        <v>24</v>
      </c>
      <c r="K75" s="11" t="s">
        <v>25</v>
      </c>
      <c r="L75" s="41" t="s">
        <v>33</v>
      </c>
      <c r="M75" s="42">
        <v>46177</v>
      </c>
      <c r="N75" s="56" t="s">
        <v>208</v>
      </c>
      <c r="O75" s="40" t="s">
        <v>76</v>
      </c>
      <c r="P75" s="50"/>
      <c r="Q75" s="51"/>
      <c r="R75" s="51"/>
    </row>
    <row r="76" spans="1:18" ht="15.75">
      <c r="A76" s="33"/>
      <c r="B76" s="49" t="s">
        <v>18</v>
      </c>
      <c r="C76" s="49" t="s">
        <v>19</v>
      </c>
      <c r="D76" s="39" t="s">
        <v>209</v>
      </c>
      <c r="E76" s="40" t="s">
        <v>210</v>
      </c>
      <c r="F76" s="49" t="s">
        <v>22</v>
      </c>
      <c r="G76" s="50" t="str">
        <f>CONCATENATE(Table1[[#This Row],[Asset ID]], " ", Table1[[#This Row],[Serial Number]], " ",  Table1[[#This Row],[Customer Name]])</f>
        <v>t111964 PF50PR3Y   Humble ISD</v>
      </c>
      <c r="H76" s="51"/>
      <c r="I76" s="49" t="s">
        <v>23</v>
      </c>
      <c r="J76" s="49" t="s">
        <v>24</v>
      </c>
      <c r="K76" s="11" t="s">
        <v>25</v>
      </c>
      <c r="L76" s="41" t="s">
        <v>33</v>
      </c>
      <c r="M76" s="42">
        <v>46177</v>
      </c>
      <c r="N76" s="56" t="s">
        <v>208</v>
      </c>
      <c r="O76" s="40" t="s">
        <v>76</v>
      </c>
      <c r="P76" s="50"/>
      <c r="Q76" s="51"/>
      <c r="R76" s="51"/>
    </row>
    <row r="77" spans="1:18" ht="15.75">
      <c r="A77" s="44"/>
      <c r="B77" s="49" t="s">
        <v>18</v>
      </c>
      <c r="C77" s="49" t="s">
        <v>19</v>
      </c>
      <c r="D77" s="45" t="s">
        <v>211</v>
      </c>
      <c r="E77" s="46" t="s">
        <v>212</v>
      </c>
      <c r="F77" s="49" t="s">
        <v>22</v>
      </c>
      <c r="G77" s="53" t="str">
        <f>CONCATENATE(Table1[[#This Row],[Asset ID]], " ", Table1[[#This Row],[Serial Number]], " ",  Table1[[#This Row],[Customer Name]])</f>
        <v>t111965 PF50PYXE   Humble ISD</v>
      </c>
      <c r="H77" s="54"/>
      <c r="I77" s="49" t="s">
        <v>23</v>
      </c>
      <c r="J77" s="49" t="s">
        <v>24</v>
      </c>
      <c r="K77" s="11" t="s">
        <v>25</v>
      </c>
      <c r="L77" s="47" t="s">
        <v>33</v>
      </c>
      <c r="M77" s="48">
        <v>46177</v>
      </c>
      <c r="N77" s="56" t="s">
        <v>208</v>
      </c>
      <c r="O77" s="46" t="s">
        <v>76</v>
      </c>
      <c r="P77" s="53"/>
      <c r="Q77" s="54"/>
      <c r="R77" s="54"/>
    </row>
    <row r="78" spans="1:18">
      <c r="B78"/>
      <c r="C78"/>
      <c r="F78"/>
      <c r="I78"/>
      <c r="J78"/>
      <c r="K78" s="11"/>
      <c r="L78" s="24"/>
      <c r="M78" s="7"/>
      <c r="P78" s="6"/>
    </row>
    <row r="79" spans="1:18">
      <c r="B79"/>
      <c r="C79"/>
      <c r="F79"/>
      <c r="I79"/>
      <c r="J79"/>
      <c r="K79" s="11"/>
      <c r="L79" s="24"/>
      <c r="M79" s="7"/>
      <c r="P79" s="6"/>
    </row>
    <row r="80" spans="1:18">
      <c r="B80"/>
      <c r="C80"/>
      <c r="F80"/>
      <c r="I80"/>
      <c r="J80"/>
      <c r="K80" s="11"/>
      <c r="L80" s="24"/>
      <c r="M80" s="7"/>
      <c r="P80" s="6"/>
    </row>
    <row r="81" spans="2:16">
      <c r="B81"/>
      <c r="C81"/>
      <c r="F81"/>
      <c r="I81"/>
      <c r="J81"/>
      <c r="K81" s="11"/>
      <c r="L81" s="24"/>
      <c r="M81" s="7"/>
      <c r="P81" s="6"/>
    </row>
    <row r="82" spans="2:16">
      <c r="B82"/>
      <c r="C82"/>
      <c r="F82"/>
      <c r="I82"/>
      <c r="J82"/>
      <c r="K82" s="11"/>
      <c r="L82" s="24"/>
      <c r="M82" s="7"/>
      <c r="P82" s="6"/>
    </row>
    <row r="83" spans="2:16">
      <c r="B83"/>
      <c r="C83"/>
      <c r="F83"/>
      <c r="I83"/>
      <c r="J83"/>
      <c r="K83" s="11"/>
      <c r="L83" s="24"/>
      <c r="M83" s="7"/>
      <c r="P83" s="6"/>
    </row>
    <row r="84" spans="2:16">
      <c r="B84"/>
      <c r="C84"/>
      <c r="F84"/>
      <c r="I84"/>
      <c r="J84"/>
      <c r="K84" s="11"/>
      <c r="L84" s="24"/>
      <c r="M84" s="7"/>
      <c r="P84" s="6"/>
    </row>
    <row r="85" spans="2:16">
      <c r="B85"/>
      <c r="C85"/>
      <c r="F85"/>
      <c r="I85"/>
      <c r="J85"/>
      <c r="K85" s="11"/>
      <c r="L85" s="24"/>
      <c r="M85" s="7"/>
      <c r="P85" s="6"/>
    </row>
    <row r="86" spans="2:16">
      <c r="B86"/>
      <c r="C86"/>
      <c r="F86"/>
      <c r="I86"/>
      <c r="J86"/>
      <c r="K86" s="11"/>
      <c r="L86" s="24"/>
      <c r="M86" s="7"/>
      <c r="P86" s="6"/>
    </row>
    <row r="87" spans="2:16">
      <c r="B87"/>
      <c r="C87"/>
      <c r="F87"/>
      <c r="I87"/>
      <c r="J87"/>
      <c r="K87" s="11"/>
      <c r="L87" s="24"/>
      <c r="M87" s="7"/>
      <c r="P87" s="6"/>
    </row>
    <row r="88" spans="2:16">
      <c r="B88"/>
      <c r="C88"/>
      <c r="F88"/>
      <c r="I88"/>
      <c r="J88"/>
      <c r="K88" s="11"/>
      <c r="L88" s="24"/>
      <c r="M88" s="7"/>
      <c r="P88" s="6"/>
    </row>
    <row r="89" spans="2:16">
      <c r="B89"/>
      <c r="C89"/>
      <c r="F89"/>
      <c r="I89"/>
      <c r="J89"/>
      <c r="K89" s="11"/>
      <c r="L89" s="24"/>
      <c r="M89" s="7"/>
      <c r="P89" s="6"/>
    </row>
    <row r="90" spans="2:16">
      <c r="B90"/>
      <c r="C90"/>
      <c r="F90"/>
      <c r="I90"/>
      <c r="J90"/>
      <c r="K90" s="11"/>
      <c r="L90" s="24"/>
      <c r="M90" s="7"/>
      <c r="P90" s="6"/>
    </row>
    <row r="91" spans="2:16">
      <c r="B91"/>
      <c r="C91"/>
      <c r="F91"/>
      <c r="I91"/>
      <c r="J91"/>
      <c r="K91" s="11"/>
      <c r="L91" s="24"/>
      <c r="M91" s="7"/>
      <c r="P91" s="6"/>
    </row>
    <row r="92" spans="2:16">
      <c r="B92"/>
      <c r="C92"/>
      <c r="F92"/>
      <c r="I92"/>
      <c r="J92"/>
      <c r="K92" s="11"/>
      <c r="L92" s="24"/>
      <c r="M92" s="7"/>
      <c r="P92" s="6"/>
    </row>
    <row r="93" spans="2:16">
      <c r="B93"/>
      <c r="C93"/>
      <c r="F93"/>
      <c r="I93"/>
      <c r="J93"/>
      <c r="K93" s="11"/>
      <c r="L93" s="24"/>
      <c r="M93" s="7"/>
      <c r="P93" s="6"/>
    </row>
    <row r="94" spans="2:16">
      <c r="B94"/>
      <c r="C94"/>
      <c r="F94"/>
      <c r="I94"/>
      <c r="J94"/>
      <c r="K94" s="11"/>
      <c r="L94" s="24"/>
      <c r="M94" s="7"/>
      <c r="P94" s="6"/>
    </row>
    <row r="95" spans="2:16">
      <c r="B95"/>
      <c r="C95"/>
      <c r="F95"/>
      <c r="I95"/>
      <c r="J95"/>
      <c r="K95" s="11"/>
      <c r="L95" s="24"/>
      <c r="M95" s="7"/>
      <c r="P95" s="6"/>
    </row>
    <row r="96" spans="2:16">
      <c r="B96"/>
      <c r="C96"/>
      <c r="F96"/>
      <c r="I96"/>
      <c r="J96"/>
      <c r="K96" s="11"/>
      <c r="L96" s="24"/>
      <c r="M96" s="7"/>
      <c r="P96" s="6"/>
    </row>
    <row r="97" spans="2:16">
      <c r="B97"/>
      <c r="C97"/>
      <c r="F97"/>
      <c r="I97"/>
      <c r="J97"/>
      <c r="K97" s="11"/>
      <c r="L97" s="24"/>
      <c r="M97" s="7"/>
      <c r="P97" s="6"/>
    </row>
    <row r="98" spans="2:16">
      <c r="B98"/>
      <c r="C98"/>
      <c r="F98"/>
      <c r="I98"/>
      <c r="J98"/>
      <c r="K98" s="11"/>
      <c r="L98" s="24"/>
      <c r="M98" s="7"/>
      <c r="P98" s="6"/>
    </row>
    <row r="99" spans="2:16">
      <c r="B99"/>
      <c r="C99"/>
      <c r="F99"/>
      <c r="I99"/>
      <c r="J99"/>
      <c r="K99" s="11"/>
      <c r="L99" s="24"/>
      <c r="M99" s="7"/>
      <c r="P99" s="6"/>
    </row>
    <row r="100" spans="2:16">
      <c r="B100"/>
      <c r="C100"/>
      <c r="F100"/>
      <c r="I100"/>
      <c r="J100"/>
      <c r="K100" s="11"/>
      <c r="L100" s="24"/>
      <c r="M100" s="7"/>
      <c r="P100" s="6"/>
    </row>
    <row r="101" spans="2:16">
      <c r="B101"/>
      <c r="C101"/>
      <c r="F101"/>
      <c r="I101"/>
      <c r="J101"/>
      <c r="K101" s="11"/>
      <c r="L101" s="24"/>
      <c r="M101" s="7"/>
      <c r="P101" s="6"/>
    </row>
    <row r="102" spans="2:16">
      <c r="B102"/>
      <c r="C102"/>
      <c r="F102"/>
      <c r="I102"/>
      <c r="J102"/>
      <c r="K102" s="11"/>
      <c r="L102" s="24"/>
      <c r="M102" s="7"/>
      <c r="P102" s="6"/>
    </row>
    <row r="103" spans="2:16">
      <c r="B103"/>
      <c r="C103"/>
      <c r="F103"/>
      <c r="I103"/>
      <c r="J103"/>
      <c r="K103" s="11"/>
      <c r="L103" s="24"/>
      <c r="M103" s="7"/>
      <c r="P103" s="6"/>
    </row>
    <row r="104" spans="2:16">
      <c r="B104"/>
      <c r="C104"/>
      <c r="F104"/>
      <c r="I104"/>
      <c r="J104"/>
      <c r="K104" s="11"/>
      <c r="L104" s="24"/>
      <c r="M104" s="7"/>
      <c r="P104" s="6"/>
    </row>
    <row r="105" spans="2:16">
      <c r="B105"/>
      <c r="C105"/>
      <c r="F105"/>
      <c r="I105"/>
      <c r="J105"/>
      <c r="K105" s="11"/>
      <c r="L105" s="24"/>
      <c r="M105" s="7"/>
      <c r="P105" s="6"/>
    </row>
    <row r="106" spans="2:16">
      <c r="B106"/>
      <c r="C106"/>
      <c r="F106"/>
      <c r="I106"/>
      <c r="J106"/>
      <c r="K106" s="11"/>
      <c r="L106" s="24"/>
      <c r="M106" s="7"/>
      <c r="P106" s="6"/>
    </row>
    <row r="107" spans="2:16">
      <c r="B107"/>
      <c r="C107"/>
      <c r="F107"/>
      <c r="I107"/>
      <c r="J107"/>
      <c r="K107" s="11"/>
      <c r="L107" s="24"/>
      <c r="M107" s="7"/>
      <c r="P107" s="6"/>
    </row>
    <row r="108" spans="2:16">
      <c r="B108"/>
      <c r="C108"/>
      <c r="F108"/>
      <c r="I108"/>
      <c r="J108"/>
      <c r="K108" s="11"/>
      <c r="L108" s="24"/>
      <c r="M108" s="7"/>
      <c r="P108" s="6"/>
    </row>
    <row r="109" spans="2:16">
      <c r="B109"/>
      <c r="C109"/>
      <c r="F109"/>
      <c r="I109"/>
      <c r="J109"/>
      <c r="K109" s="11"/>
      <c r="L109" s="24"/>
      <c r="M109" s="7"/>
      <c r="P109" s="6"/>
    </row>
    <row r="110" spans="2:16">
      <c r="B110"/>
      <c r="C110"/>
      <c r="F110"/>
      <c r="I110"/>
      <c r="J110"/>
      <c r="K110" s="11"/>
      <c r="L110" s="24"/>
      <c r="M110" s="7"/>
      <c r="P110" s="6"/>
    </row>
    <row r="111" spans="2:16">
      <c r="B111"/>
      <c r="C111"/>
      <c r="F111"/>
      <c r="I111"/>
      <c r="J111"/>
      <c r="K111" s="11"/>
      <c r="L111" s="24"/>
      <c r="M111" s="7"/>
      <c r="P111" s="6"/>
    </row>
    <row r="112" spans="2:16">
      <c r="B112"/>
      <c r="C112"/>
      <c r="F112"/>
      <c r="I112"/>
      <c r="J112"/>
      <c r="K112" s="11"/>
      <c r="L112" s="24"/>
      <c r="M112" s="7"/>
      <c r="P112" s="6"/>
    </row>
    <row r="113" spans="2:16">
      <c r="B113"/>
      <c r="C113"/>
      <c r="F113"/>
      <c r="I113"/>
      <c r="J113"/>
      <c r="K113" s="11"/>
      <c r="L113" s="24"/>
      <c r="M113" s="7"/>
      <c r="P113" s="6"/>
    </row>
    <row r="114" spans="2:16">
      <c r="B114"/>
      <c r="C114"/>
      <c r="F114"/>
      <c r="I114"/>
      <c r="J114"/>
      <c r="K114" s="11"/>
      <c r="L114" s="24"/>
      <c r="M114" s="7"/>
      <c r="P114" s="6"/>
    </row>
    <row r="115" spans="2:16">
      <c r="B115"/>
      <c r="C115"/>
      <c r="F115"/>
      <c r="I115"/>
      <c r="J115"/>
      <c r="K115" s="11"/>
      <c r="L115" s="24"/>
      <c r="M115" s="7"/>
      <c r="P115" s="6"/>
    </row>
    <row r="116" spans="2:16">
      <c r="B116"/>
      <c r="C116"/>
      <c r="F116"/>
      <c r="I116"/>
      <c r="J116"/>
      <c r="K116" s="11"/>
      <c r="L116" s="24"/>
      <c r="M116" s="7"/>
      <c r="P116" s="6"/>
    </row>
    <row r="117" spans="2:16">
      <c r="B117"/>
      <c r="C117"/>
      <c r="F117"/>
      <c r="I117"/>
      <c r="J117"/>
      <c r="K117" s="11"/>
      <c r="L117" s="24"/>
      <c r="M117" s="7"/>
      <c r="P117" s="6"/>
    </row>
    <row r="118" spans="2:16">
      <c r="B118"/>
      <c r="C118"/>
      <c r="F118"/>
      <c r="I118"/>
      <c r="J118"/>
      <c r="K118" s="11"/>
      <c r="L118" s="24"/>
      <c r="M118" s="7"/>
      <c r="P118" s="6"/>
    </row>
    <row r="119" spans="2:16">
      <c r="B119"/>
      <c r="C119"/>
      <c r="F119"/>
      <c r="I119"/>
      <c r="J119"/>
      <c r="K119" s="11"/>
      <c r="L119" s="24"/>
      <c r="M119" s="7"/>
      <c r="P119" s="6"/>
    </row>
    <row r="120" spans="2:16">
      <c r="B120"/>
      <c r="C120"/>
      <c r="F120"/>
      <c r="I120"/>
      <c r="J120"/>
      <c r="K120" s="11"/>
      <c r="L120" s="24"/>
      <c r="M120" s="7"/>
      <c r="P120" s="6"/>
    </row>
    <row r="121" spans="2:16">
      <c r="B121"/>
      <c r="C121"/>
      <c r="F121"/>
      <c r="I121"/>
      <c r="J121"/>
      <c r="K121" s="11"/>
      <c r="L121" s="24"/>
      <c r="M121" s="7"/>
      <c r="P121" s="6"/>
    </row>
    <row r="122" spans="2:16">
      <c r="B122"/>
      <c r="C122"/>
      <c r="F122"/>
      <c r="I122"/>
      <c r="J122"/>
      <c r="K122" s="11"/>
      <c r="L122" s="24"/>
      <c r="M122" s="7"/>
      <c r="P122" s="6"/>
    </row>
    <row r="123" spans="2:16">
      <c r="B123"/>
      <c r="C123"/>
      <c r="F123"/>
      <c r="I123"/>
      <c r="J123"/>
      <c r="K123" s="11"/>
      <c r="L123" s="24"/>
      <c r="M123" s="7"/>
      <c r="P123" s="6"/>
    </row>
    <row r="124" spans="2:16">
      <c r="B124"/>
      <c r="C124"/>
      <c r="F124"/>
      <c r="I124"/>
      <c r="J124"/>
      <c r="K124" s="11"/>
      <c r="L124" s="24"/>
      <c r="M124" s="7"/>
      <c r="P124" s="6"/>
    </row>
    <row r="125" spans="2:16">
      <c r="B125"/>
      <c r="C125"/>
      <c r="F125"/>
      <c r="I125"/>
      <c r="J125"/>
      <c r="K125" s="11"/>
      <c r="L125" s="24"/>
      <c r="M125" s="7"/>
      <c r="P125" s="6"/>
    </row>
    <row r="126" spans="2:16">
      <c r="B126"/>
      <c r="C126"/>
      <c r="F126"/>
      <c r="I126"/>
      <c r="J126"/>
      <c r="K126" s="11"/>
      <c r="L126" s="24"/>
      <c r="M126" s="7"/>
      <c r="P126" s="6"/>
    </row>
    <row r="127" spans="2:16">
      <c r="B127"/>
      <c r="C127"/>
      <c r="F127"/>
      <c r="I127"/>
      <c r="J127"/>
      <c r="K127" s="11"/>
      <c r="L127" s="24"/>
      <c r="M127" s="7"/>
      <c r="P127" s="6"/>
    </row>
    <row r="128" spans="2:16">
      <c r="B128"/>
      <c r="C128"/>
      <c r="F128"/>
      <c r="I128"/>
      <c r="J128"/>
      <c r="K128" s="11"/>
      <c r="L128" s="24"/>
      <c r="M128" s="7"/>
      <c r="P128" s="6"/>
    </row>
    <row r="129" spans="2:16">
      <c r="B129"/>
      <c r="C129"/>
      <c r="F129"/>
      <c r="I129"/>
      <c r="J129"/>
      <c r="K129" s="11"/>
      <c r="L129" s="24"/>
      <c r="M129" s="7"/>
      <c r="P129" s="6"/>
    </row>
    <row r="130" spans="2:16">
      <c r="B130"/>
      <c r="C130"/>
      <c r="F130"/>
      <c r="I130"/>
      <c r="J130"/>
      <c r="K130" s="11"/>
      <c r="L130" s="24"/>
      <c r="M130" s="7"/>
      <c r="P130" s="6"/>
    </row>
    <row r="131" spans="2:16">
      <c r="B131"/>
      <c r="C131"/>
      <c r="F131"/>
      <c r="I131"/>
      <c r="J131"/>
      <c r="K131" s="11"/>
      <c r="L131" s="24"/>
      <c r="M131" s="7"/>
      <c r="P131" s="6"/>
    </row>
    <row r="132" spans="2:16">
      <c r="B132"/>
      <c r="C132"/>
      <c r="F132"/>
      <c r="I132"/>
      <c r="J132"/>
      <c r="K132" s="11"/>
      <c r="L132" s="24"/>
      <c r="M132" s="7"/>
      <c r="P132" s="6"/>
    </row>
    <row r="133" spans="2:16">
      <c r="B133"/>
      <c r="C133"/>
      <c r="F133"/>
      <c r="I133"/>
      <c r="J133"/>
      <c r="K133" s="11"/>
      <c r="L133" s="24"/>
      <c r="M133" s="7"/>
      <c r="P133" s="6"/>
    </row>
    <row r="134" spans="2:16">
      <c r="B134"/>
      <c r="C134"/>
      <c r="F134"/>
      <c r="I134"/>
      <c r="J134"/>
      <c r="K134" s="11"/>
      <c r="L134" s="24"/>
      <c r="M134" s="7"/>
      <c r="P134" s="6"/>
    </row>
    <row r="135" spans="2:16">
      <c r="B135"/>
      <c r="C135"/>
      <c r="F135"/>
      <c r="I135"/>
      <c r="J135"/>
      <c r="K135" s="11"/>
      <c r="L135" s="24"/>
      <c r="M135" s="7"/>
      <c r="P135" s="6"/>
    </row>
    <row r="136" spans="2:16">
      <c r="B136"/>
      <c r="C136"/>
      <c r="F136"/>
      <c r="I136"/>
      <c r="J136"/>
      <c r="K136" s="11"/>
      <c r="L136" s="24"/>
      <c r="M136" s="7"/>
      <c r="P136" s="6"/>
    </row>
    <row r="137" spans="2:16">
      <c r="B137"/>
      <c r="C137"/>
      <c r="F137"/>
      <c r="I137"/>
      <c r="J137"/>
      <c r="K137" s="11"/>
      <c r="L137" s="24"/>
      <c r="M137" s="7"/>
      <c r="P137" s="6"/>
    </row>
    <row r="138" spans="2:16">
      <c r="B138"/>
      <c r="C138"/>
      <c r="F138"/>
      <c r="I138"/>
      <c r="J138"/>
      <c r="K138" s="11"/>
      <c r="L138" s="24"/>
      <c r="M138" s="7"/>
      <c r="P138" s="6"/>
    </row>
    <row r="139" spans="2:16">
      <c r="B139"/>
      <c r="C139"/>
      <c r="F139"/>
      <c r="I139"/>
      <c r="J139"/>
      <c r="K139" s="11"/>
      <c r="L139" s="24"/>
      <c r="M139" s="7"/>
      <c r="P139" s="6"/>
    </row>
    <row r="140" spans="2:16">
      <c r="B140"/>
      <c r="C140"/>
      <c r="F140"/>
      <c r="I140"/>
      <c r="J140"/>
      <c r="K140" s="11"/>
      <c r="L140" s="24"/>
      <c r="M140" s="7"/>
      <c r="P140" s="6"/>
    </row>
    <row r="141" spans="2:16">
      <c r="B141"/>
      <c r="C141"/>
      <c r="F141"/>
      <c r="I141"/>
      <c r="J141"/>
      <c r="K141" s="11"/>
      <c r="L141" s="24"/>
      <c r="M141" s="7"/>
      <c r="P141" s="6"/>
    </row>
    <row r="142" spans="2:16">
      <c r="B142"/>
      <c r="C142"/>
      <c r="F142"/>
      <c r="I142"/>
      <c r="J142"/>
      <c r="K142" s="11"/>
      <c r="L142" s="24"/>
      <c r="M142" s="7"/>
      <c r="P142" s="6"/>
    </row>
    <row r="143" spans="2:16">
      <c r="B143"/>
      <c r="C143"/>
      <c r="F143"/>
      <c r="I143"/>
      <c r="J143"/>
      <c r="K143" s="11"/>
      <c r="L143" s="24"/>
      <c r="M143" s="7"/>
      <c r="P143" s="6"/>
    </row>
    <row r="144" spans="2:16">
      <c r="B144"/>
      <c r="C144"/>
      <c r="F144"/>
      <c r="I144"/>
      <c r="J144"/>
      <c r="K144" s="11"/>
      <c r="L144" s="24"/>
      <c r="M144" s="7"/>
      <c r="P144" s="6"/>
    </row>
    <row r="145" spans="2:16">
      <c r="B145"/>
      <c r="C145"/>
      <c r="F145"/>
      <c r="I145"/>
      <c r="J145"/>
      <c r="K145" s="11"/>
      <c r="L145" s="24"/>
      <c r="M145" s="7"/>
      <c r="P145" s="6"/>
    </row>
    <row r="146" spans="2:16">
      <c r="B146"/>
      <c r="C146"/>
      <c r="F146"/>
      <c r="I146"/>
      <c r="J146"/>
      <c r="K146" s="11"/>
      <c r="L146" s="24"/>
      <c r="M146" s="7"/>
      <c r="P146" s="6"/>
    </row>
    <row r="147" spans="2:16">
      <c r="B147"/>
      <c r="C147"/>
      <c r="F147"/>
      <c r="I147"/>
      <c r="J147"/>
      <c r="K147" s="11"/>
      <c r="L147" s="24"/>
      <c r="M147" s="7"/>
      <c r="P147" s="6"/>
    </row>
    <row r="148" spans="2:16">
      <c r="B148"/>
      <c r="C148"/>
      <c r="F148"/>
      <c r="I148"/>
      <c r="J148"/>
      <c r="K148" s="11"/>
      <c r="L148" s="24"/>
      <c r="M148" s="7"/>
      <c r="P148" s="6"/>
    </row>
    <row r="149" spans="2:16">
      <c r="B149"/>
      <c r="C149"/>
      <c r="F149"/>
      <c r="I149"/>
      <c r="J149"/>
      <c r="K149" s="11"/>
      <c r="L149" s="24"/>
      <c r="M149" s="7"/>
      <c r="P149" s="6"/>
    </row>
    <row r="150" spans="2:16">
      <c r="B150"/>
      <c r="C150"/>
      <c r="F150"/>
      <c r="I150"/>
      <c r="J150"/>
      <c r="K150" s="11"/>
      <c r="L150" s="24"/>
      <c r="M150" s="7"/>
      <c r="P150" s="6"/>
    </row>
    <row r="151" spans="2:16">
      <c r="B151"/>
      <c r="C151"/>
      <c r="F151"/>
      <c r="I151"/>
      <c r="J151"/>
      <c r="K151" s="11"/>
      <c r="L151" s="24"/>
      <c r="M151" s="7"/>
      <c r="P151" s="6"/>
    </row>
    <row r="152" spans="2:16">
      <c r="B152"/>
      <c r="C152"/>
      <c r="F152"/>
      <c r="I152"/>
      <c r="J152"/>
      <c r="K152" s="11"/>
      <c r="L152" s="24"/>
      <c r="M152" s="7"/>
      <c r="P152" s="6"/>
    </row>
    <row r="153" spans="2:16">
      <c r="B153"/>
      <c r="C153"/>
      <c r="F153"/>
      <c r="I153"/>
      <c r="J153"/>
      <c r="K153" s="11"/>
      <c r="L153" s="24"/>
      <c r="M153" s="7"/>
      <c r="P153" s="6"/>
    </row>
    <row r="154" spans="2:16">
      <c r="B154"/>
      <c r="C154"/>
      <c r="F154"/>
      <c r="I154"/>
      <c r="J154"/>
      <c r="K154" s="11"/>
      <c r="L154" s="24"/>
      <c r="M154" s="7"/>
      <c r="P154" s="6"/>
    </row>
    <row r="155" spans="2:16">
      <c r="B155"/>
      <c r="C155"/>
      <c r="F155"/>
      <c r="I155"/>
      <c r="J155"/>
      <c r="K155" s="11"/>
      <c r="L155" s="24"/>
      <c r="M155" s="7"/>
      <c r="P155" s="6"/>
    </row>
    <row r="156" spans="2:16">
      <c r="B156"/>
      <c r="C156"/>
      <c r="F156"/>
      <c r="I156"/>
      <c r="J156"/>
      <c r="K156" s="11"/>
      <c r="L156" s="24"/>
      <c r="M156" s="7"/>
      <c r="P156" s="6"/>
    </row>
    <row r="157" spans="2:16">
      <c r="B157"/>
      <c r="C157"/>
      <c r="F157"/>
      <c r="I157"/>
      <c r="J157"/>
      <c r="K157" s="11"/>
      <c r="L157" s="24"/>
      <c r="M157" s="7"/>
      <c r="P157" s="6"/>
    </row>
    <row r="158" spans="2:16">
      <c r="B158"/>
      <c r="C158"/>
      <c r="F158"/>
      <c r="I158"/>
      <c r="J158"/>
      <c r="K158" s="11"/>
      <c r="L158" s="24"/>
      <c r="M158" s="7"/>
      <c r="P158" s="6"/>
    </row>
    <row r="159" spans="2:16">
      <c r="B159"/>
      <c r="C159"/>
      <c r="F159"/>
      <c r="I159"/>
      <c r="J159"/>
      <c r="K159" s="11"/>
      <c r="L159" s="24"/>
      <c r="M159" s="7"/>
      <c r="P159" s="6"/>
    </row>
    <row r="160" spans="2:16">
      <c r="B160"/>
      <c r="C160"/>
      <c r="F160"/>
      <c r="I160"/>
      <c r="J160"/>
      <c r="K160" s="11"/>
      <c r="L160" s="24"/>
      <c r="M160" s="7"/>
      <c r="P160" s="6"/>
    </row>
    <row r="161" spans="2:16">
      <c r="B161"/>
      <c r="C161"/>
      <c r="F161"/>
      <c r="I161"/>
      <c r="J161"/>
      <c r="K161" s="11"/>
      <c r="L161" s="24"/>
      <c r="M161" s="7"/>
      <c r="P161" s="6"/>
    </row>
    <row r="162" spans="2:16">
      <c r="B162"/>
      <c r="C162"/>
      <c r="F162"/>
      <c r="I162"/>
      <c r="J162"/>
      <c r="K162" s="11"/>
      <c r="L162" s="24"/>
      <c r="M162" s="7"/>
      <c r="P162" s="6"/>
    </row>
    <row r="163" spans="2:16">
      <c r="B163"/>
      <c r="C163"/>
      <c r="F163"/>
      <c r="I163"/>
      <c r="J163"/>
      <c r="K163" s="11"/>
      <c r="L163" s="24"/>
      <c r="M163" s="7"/>
      <c r="P163" s="6"/>
    </row>
    <row r="164" spans="2:16">
      <c r="B164"/>
      <c r="C164"/>
      <c r="F164"/>
      <c r="I164"/>
      <c r="J164"/>
      <c r="K164" s="11"/>
      <c r="L164" s="24"/>
      <c r="M164" s="7"/>
      <c r="P164" s="6"/>
    </row>
    <row r="165" spans="2:16">
      <c r="B165"/>
      <c r="C165"/>
      <c r="F165"/>
      <c r="I165"/>
      <c r="J165"/>
      <c r="K165" s="11"/>
      <c r="L165" s="24"/>
      <c r="M165" s="7"/>
      <c r="P165" s="6"/>
    </row>
    <row r="166" spans="2:16">
      <c r="B166"/>
      <c r="C166"/>
      <c r="F166"/>
      <c r="I166"/>
      <c r="J166"/>
      <c r="K166" s="11"/>
      <c r="L166" s="24"/>
      <c r="M166" s="7"/>
      <c r="P166" s="6"/>
    </row>
    <row r="167" spans="2:16">
      <c r="B167"/>
      <c r="C167"/>
      <c r="F167"/>
      <c r="I167"/>
      <c r="J167"/>
      <c r="K167" s="11"/>
      <c r="L167" s="24"/>
      <c r="M167" s="7"/>
      <c r="P167" s="6"/>
    </row>
    <row r="168" spans="2:16">
      <c r="B168"/>
      <c r="C168"/>
      <c r="F168"/>
      <c r="I168"/>
      <c r="J168"/>
      <c r="K168" s="11"/>
      <c r="L168" s="24"/>
      <c r="M168" s="7"/>
      <c r="P168" s="6"/>
    </row>
    <row r="169" spans="2:16">
      <c r="B169"/>
      <c r="C169"/>
      <c r="F169"/>
      <c r="I169"/>
      <c r="J169"/>
      <c r="K169" s="11"/>
      <c r="L169" s="24"/>
      <c r="M169" s="7"/>
      <c r="P169" s="6"/>
    </row>
    <row r="170" spans="2:16">
      <c r="B170"/>
      <c r="C170"/>
      <c r="F170"/>
      <c r="I170"/>
      <c r="J170"/>
      <c r="K170" s="11"/>
      <c r="L170" s="24"/>
      <c r="M170" s="7"/>
      <c r="P170" s="6"/>
    </row>
    <row r="171" spans="2:16">
      <c r="B171"/>
      <c r="C171"/>
      <c r="F171"/>
      <c r="I171"/>
      <c r="J171"/>
      <c r="K171" s="11"/>
      <c r="L171" s="24"/>
      <c r="M171" s="7"/>
      <c r="P171" s="6"/>
    </row>
    <row r="172" spans="2:16">
      <c r="B172"/>
      <c r="C172"/>
      <c r="F172"/>
      <c r="I172"/>
      <c r="J172"/>
      <c r="K172" s="11"/>
      <c r="L172" s="24"/>
      <c r="M172" s="7"/>
      <c r="P172" s="6"/>
    </row>
    <row r="173" spans="2:16">
      <c r="B173"/>
      <c r="C173"/>
      <c r="F173"/>
      <c r="I173"/>
      <c r="J173"/>
      <c r="K173" s="11"/>
      <c r="L173" s="24"/>
      <c r="M173" s="7"/>
      <c r="P173" s="6"/>
    </row>
  </sheetData>
  <conditionalFormatting sqref="F2:F173 I2:J173 B2:C173">
    <cfRule type="cellIs" dxfId="34" priority="17" operator="equal">
      <formula>TRUE</formula>
    </cfRule>
  </conditionalFormatting>
  <conditionalFormatting sqref="E2:E77">
    <cfRule type="duplicateValues" dxfId="33" priority="1"/>
    <cfRule type="duplicateValues" dxfId="32" priority="2"/>
  </conditionalFormatting>
  <conditionalFormatting sqref="E37:E173">
    <cfRule type="duplicateValues" dxfId="31" priority="337"/>
  </conditionalFormatting>
  <conditionalFormatting sqref="O1">
    <cfRule type="timePeriod" dxfId="30" priority="61" timePeriod="thisMonth">
      <formula>AND(MONTH(O1)=MONTH(TODAY()),YEAR(O1)=YEAR(TODAY()))</formula>
    </cfRule>
  </conditionalFormatting>
  <conditionalFormatting sqref="P37:P173">
    <cfRule type="timePeriod" dxfId="29" priority="341" timePeriod="thisMonth">
      <formula>AND(MONTH(P37)=MONTH(TODAY()),YEAR(P37)=YEAR(TODAY()))</formula>
    </cfRule>
    <cfRule type="timePeriod" dxfId="28" priority="342" timePeriod="nextMonth">
      <formula>AND(MONTH(P37)=MONTH(EDATE(TODAY(),0+1)),YEAR(P37)=YEAR(EDATE(TODAY(),0+1)))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8" id="{FE7144B1-0E5A-40D4-88E4-B642C0C322EF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TODAY()+90</xm:f>
              </x14:cfvo>
              <x14:cfIcon iconSet="3Symbols" iconId="0"/>
              <x14:cfIcon iconSet="3Signs" iconId="0"/>
              <x14:cfIcon iconSet="3Symbols" iconId="2"/>
            </x14:iconSet>
          </x14:cfRule>
          <x14:cfRule type="iconSet" priority="339" id="{1CCD2E72-CB8E-4DA9-B2B0-8EDE7F0CC821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</xm:f>
              </x14:cfvo>
              <x14:cfIcon iconSet="3Symbols" iconId="0"/>
              <x14:cfIcon iconSet="3Symbols" iconId="1"/>
              <x14:cfIcon iconSet="3Symbols" iconId="2"/>
            </x14:iconSet>
          </x14:cfRule>
          <x14:cfRule type="iconSet" priority="340" id="{6FAF6ABF-CBC5-4CBC-B69F-943424E3C877}">
            <x14:iconSet custom="1">
              <x14:cfvo type="percent">
                <xm:f>0</xm:f>
              </x14:cfvo>
              <x14:cfvo type="formula">
                <xm:f>TODAY()+90</xm:f>
              </x14:cfvo>
              <x14:cfvo type="formula" gte="0">
                <xm:f>TODAY()+90</xm:f>
              </x14:cfvo>
              <x14:cfIcon iconSet="3Symbols" iconId="0"/>
              <x14:cfIcon iconSet="3Flags" iconId="0"/>
              <x14:cfIcon iconSet="3Symbols" iconId="2"/>
            </x14:iconSet>
          </x14:cfRule>
          <xm:sqref>P37:P173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18E9-9713-49E5-A953-35707AF2F898}">
  <sheetPr>
    <tabColor rgb="FF0070C0"/>
  </sheetPr>
  <dimension ref="A1:K17"/>
  <sheetViews>
    <sheetView workbookViewId="0">
      <selection activeCell="G3" sqref="G3:H3"/>
    </sheetView>
  </sheetViews>
  <sheetFormatPr defaultRowHeight="14.45"/>
  <cols>
    <col min="1" max="1" width="21.28515625" style="5" customWidth="1"/>
    <col min="2" max="2" width="13.140625" bestFit="1" customWidth="1"/>
    <col min="3" max="3" width="8.140625" bestFit="1" customWidth="1"/>
    <col min="4" max="4" width="13.5703125" bestFit="1" customWidth="1"/>
    <col min="5" max="5" width="15.5703125" bestFit="1" customWidth="1"/>
    <col min="6" max="6" width="22.85546875" customWidth="1"/>
    <col min="7" max="7" width="19.42578125" customWidth="1"/>
    <col min="8" max="8" width="32.28515625" customWidth="1"/>
    <col min="9" max="9" width="16.5703125" customWidth="1"/>
    <col min="10" max="10" width="11.42578125" bestFit="1" customWidth="1"/>
    <col min="11" max="11" width="16.5703125" customWidth="1"/>
  </cols>
  <sheetData>
    <row r="1" spans="1:11" ht="15.95">
      <c r="A1" s="4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13</v>
      </c>
    </row>
    <row r="2" spans="1:11" ht="43.5">
      <c r="A2" s="5" t="s">
        <v>18</v>
      </c>
      <c r="B2" t="s">
        <v>19</v>
      </c>
      <c r="E2" t="s">
        <v>213</v>
      </c>
      <c r="F2" t="s">
        <v>214</v>
      </c>
      <c r="G2" t="s">
        <v>215</v>
      </c>
      <c r="H2" t="s">
        <v>216</v>
      </c>
    </row>
    <row r="3" spans="1:11" ht="43.5">
      <c r="A3" s="5" t="s">
        <v>18</v>
      </c>
      <c r="B3" t="s">
        <v>19</v>
      </c>
      <c r="E3" t="s">
        <v>22</v>
      </c>
      <c r="F3" t="s">
        <v>217</v>
      </c>
      <c r="G3" t="s">
        <v>23</v>
      </c>
      <c r="H3" t="s">
        <v>24</v>
      </c>
    </row>
    <row r="4" spans="1:11" ht="43.5">
      <c r="A4" s="5" t="s">
        <v>18</v>
      </c>
      <c r="B4" t="s">
        <v>19</v>
      </c>
      <c r="E4" t="s">
        <v>218</v>
      </c>
      <c r="G4" t="s">
        <v>219</v>
      </c>
      <c r="H4" t="s">
        <v>220</v>
      </c>
    </row>
    <row r="5" spans="1:11" ht="43.5">
      <c r="A5" s="5" t="s">
        <v>18</v>
      </c>
      <c r="B5" t="s">
        <v>19</v>
      </c>
      <c r="E5" t="s">
        <v>221</v>
      </c>
      <c r="G5" t="s">
        <v>222</v>
      </c>
      <c r="H5" t="s">
        <v>223</v>
      </c>
    </row>
    <row r="6" spans="1:11" ht="43.5">
      <c r="A6" s="5" t="s">
        <v>18</v>
      </c>
      <c r="B6" t="s">
        <v>19</v>
      </c>
      <c r="E6" t="s">
        <v>224</v>
      </c>
      <c r="F6" t="s">
        <v>225</v>
      </c>
      <c r="G6" t="s">
        <v>226</v>
      </c>
      <c r="H6" t="s">
        <v>227</v>
      </c>
    </row>
    <row r="7" spans="1:11" ht="43.5">
      <c r="A7" s="5" t="s">
        <v>18</v>
      </c>
      <c r="B7" t="s">
        <v>19</v>
      </c>
    </row>
    <row r="8" spans="1:11" ht="43.5">
      <c r="A8" s="5" t="s">
        <v>18</v>
      </c>
      <c r="B8" t="s">
        <v>19</v>
      </c>
      <c r="F8" t="s">
        <v>228</v>
      </c>
    </row>
    <row r="9" spans="1:11" ht="43.5">
      <c r="A9" s="5" t="s">
        <v>18</v>
      </c>
      <c r="B9" t="s">
        <v>19</v>
      </c>
    </row>
    <row r="10" spans="1:11" ht="43.5">
      <c r="A10" s="5" t="s">
        <v>18</v>
      </c>
      <c r="B10" t="s">
        <v>19</v>
      </c>
      <c r="F10" t="s">
        <v>229</v>
      </c>
    </row>
    <row r="11" spans="1:11" ht="43.5">
      <c r="A11" s="5" t="s">
        <v>18</v>
      </c>
      <c r="B11" t="s">
        <v>19</v>
      </c>
      <c r="F11" t="s">
        <v>230</v>
      </c>
    </row>
    <row r="12" spans="1:11" ht="43.5">
      <c r="A12" s="5" t="s">
        <v>18</v>
      </c>
      <c r="B12" t="s">
        <v>19</v>
      </c>
      <c r="F12" t="s">
        <v>231</v>
      </c>
    </row>
    <row r="13" spans="1:11" ht="43.5">
      <c r="A13" s="5" t="s">
        <v>18</v>
      </c>
      <c r="B13" t="s">
        <v>19</v>
      </c>
    </row>
    <row r="15" spans="1:11">
      <c r="F15" t="s">
        <v>232</v>
      </c>
    </row>
    <row r="16" spans="1:11">
      <c r="F16" t="s">
        <v>233</v>
      </c>
    </row>
    <row r="17" spans="6:6">
      <c r="F17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98ED-C713-4A6B-B686-1111087B6CAE}">
  <dimension ref="A1:Q5"/>
  <sheetViews>
    <sheetView workbookViewId="0">
      <selection activeCell="G2" sqref="G2:G3"/>
    </sheetView>
  </sheetViews>
  <sheetFormatPr defaultRowHeight="14.45"/>
  <cols>
    <col min="7" max="7" width="24.5703125" bestFit="1" customWidth="1"/>
    <col min="8" max="8" width="33" customWidth="1"/>
    <col min="10" max="10" width="14.42578125" bestFit="1" customWidth="1"/>
    <col min="11" max="11" width="11.7109375" bestFit="1" customWidth="1"/>
    <col min="13" max="13" width="20.140625" customWidth="1"/>
    <col min="14" max="14" width="18.85546875" bestFit="1" customWidth="1"/>
  </cols>
  <sheetData>
    <row r="1" spans="1:17" ht="15.95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10</v>
      </c>
      <c r="J1" s="17" t="s">
        <v>11</v>
      </c>
      <c r="K1" s="17" t="s">
        <v>12</v>
      </c>
      <c r="L1" s="17" t="s">
        <v>9</v>
      </c>
      <c r="M1" s="19" t="s">
        <v>13</v>
      </c>
      <c r="N1" s="20" t="s">
        <v>14</v>
      </c>
      <c r="O1" s="27" t="s">
        <v>15</v>
      </c>
      <c r="P1" s="27" t="s">
        <v>16</v>
      </c>
      <c r="Q1" s="28" t="s">
        <v>17</v>
      </c>
    </row>
    <row r="2" spans="1:17" ht="15.95">
      <c r="A2" s="13" t="s">
        <v>18</v>
      </c>
      <c r="B2" s="13" t="s">
        <v>19</v>
      </c>
      <c r="C2" s="30"/>
      <c r="D2" s="31"/>
      <c r="E2" s="13" t="s">
        <v>235</v>
      </c>
      <c r="F2" s="14" t="str">
        <f t="shared" ref="F2:F3" si="0">CONCATENATE(C2," ",D2," ",E2)</f>
        <v xml:space="preserve">  Humble ISD B/F</v>
      </c>
      <c r="G2" s="13" t="s">
        <v>232</v>
      </c>
      <c r="H2" s="13" t="s">
        <v>226</v>
      </c>
      <c r="I2" s="22" t="s">
        <v>25</v>
      </c>
      <c r="J2" s="23" t="s">
        <v>236</v>
      </c>
      <c r="K2" s="23">
        <v>45959</v>
      </c>
      <c r="L2" s="13" t="s">
        <v>227</v>
      </c>
      <c r="M2" s="22" t="s">
        <v>237</v>
      </c>
      <c r="N2" s="23">
        <v>46055.999305555553</v>
      </c>
      <c r="O2" s="21"/>
      <c r="P2" s="21"/>
      <c r="Q2" s="29"/>
    </row>
    <row r="3" spans="1:17" ht="15.95">
      <c r="A3" s="13" t="s">
        <v>18</v>
      </c>
      <c r="B3" s="13" t="s">
        <v>19</v>
      </c>
      <c r="C3" s="30"/>
      <c r="D3" s="31"/>
      <c r="E3" s="13" t="s">
        <v>235</v>
      </c>
      <c r="F3" s="14" t="str">
        <f t="shared" si="0"/>
        <v xml:space="preserve">  Humble ISD B/F</v>
      </c>
      <c r="G3" s="13" t="s">
        <v>217</v>
      </c>
      <c r="H3" s="13" t="s">
        <v>226</v>
      </c>
      <c r="I3" s="22" t="s">
        <v>25</v>
      </c>
      <c r="J3" s="23" t="s">
        <v>238</v>
      </c>
      <c r="K3" s="23">
        <v>45959</v>
      </c>
      <c r="L3" s="13" t="s">
        <v>227</v>
      </c>
      <c r="M3" s="22" t="s">
        <v>239</v>
      </c>
      <c r="N3" s="23">
        <v>43986</v>
      </c>
      <c r="O3" s="21"/>
      <c r="P3" s="21"/>
      <c r="Q3" s="29"/>
    </row>
    <row r="4" spans="1:17" ht="15.95">
      <c r="A4" s="13"/>
      <c r="B4" s="13"/>
      <c r="C4" s="26"/>
      <c r="D4" s="25"/>
      <c r="E4" s="13"/>
      <c r="F4" s="14"/>
      <c r="G4" s="13"/>
      <c r="H4" s="13"/>
      <c r="I4" s="22"/>
      <c r="J4" s="25"/>
      <c r="K4" s="23"/>
      <c r="L4" s="13"/>
      <c r="M4" s="22"/>
      <c r="N4" s="25"/>
    </row>
    <row r="5" spans="1:17" ht="15.95">
      <c r="A5" s="13"/>
      <c r="B5" s="13"/>
      <c r="C5" s="14"/>
      <c r="D5" s="14"/>
      <c r="E5" s="13"/>
      <c r="F5" s="14"/>
      <c r="G5" s="13"/>
      <c r="H5" s="13"/>
      <c r="I5" s="22"/>
      <c r="J5" s="12"/>
      <c r="K5" s="23"/>
      <c r="L5" s="13"/>
      <c r="M5" s="15"/>
      <c r="N5" s="16"/>
    </row>
  </sheetData>
  <conditionalFormatting sqref="A2:B5 E2:E5 H2:H5 L2:L5">
    <cfRule type="cellIs" dxfId="7" priority="1" operator="equal">
      <formula>TRUE</formula>
    </cfRule>
  </conditionalFormatting>
  <conditionalFormatting sqref="D2">
    <cfRule type="duplicateValues" dxfId="6" priority="9"/>
  </conditionalFormatting>
  <conditionalFormatting sqref="D3">
    <cfRule type="duplicateValues" dxfId="5" priority="2"/>
  </conditionalFormatting>
  <conditionalFormatting sqref="D4">
    <cfRule type="duplicateValues" dxfId="4" priority="16"/>
  </conditionalFormatting>
  <conditionalFormatting sqref="D5">
    <cfRule type="duplicateValues" dxfId="3" priority="23"/>
  </conditionalFormatting>
  <conditionalFormatting sqref="N1">
    <cfRule type="timePeriod" dxfId="2" priority="38" timePeriod="thisMonth">
      <formula>AND(MONTH(N1)=MONTH(TODAY()),YEAR(N1)=YEAR(TODAY()))</formula>
    </cfRule>
  </conditionalFormatting>
  <conditionalFormatting sqref="N2:N5">
    <cfRule type="timePeriod" dxfId="1" priority="6" timePeriod="thisMonth">
      <formula>AND(MONTH(N2)=MONTH(TODAY()),YEAR(N2)=YEAR(TODAY()))</formula>
    </cfRule>
    <cfRule type="timePeriod" dxfId="0" priority="7" timePeriod="nextMonth">
      <formula>AND(MONTH(N2)=MONTH(EDATE(TODAY(),0+1)),YEAR(N2)=YEAR(EDATE(TODAY(),0+1)))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53E0406E-6A0F-4BC1-B991-3079597B834F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TODAY()+90</xm:f>
              </x14:cfvo>
              <x14:cfIcon iconSet="3Symbols" iconId="0"/>
              <x14:cfIcon iconSet="3Signs" iconId="0"/>
              <x14:cfIcon iconSet="3Symbols" iconId="2"/>
            </x14:iconSet>
          </x14:cfRule>
          <x14:cfRule type="iconSet" priority="11" id="{398A45F0-C10C-4B88-9057-F9DDD1046FA3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</xm:f>
              </x14:cfvo>
              <x14:cfIcon iconSet="3Symbols" iconId="0"/>
              <x14:cfIcon iconSet="3Symbols" iconId="1"/>
              <x14:cfIcon iconSet="3Symbols" iconId="2"/>
            </x14:iconSet>
          </x14:cfRule>
          <x14:cfRule type="iconSet" priority="12" id="{4B46D2F3-6A94-4D4C-A122-85CE6227C79C}">
            <x14:iconSet custom="1">
              <x14:cfvo type="percent">
                <xm:f>0</xm:f>
              </x14:cfvo>
              <x14:cfvo type="formula">
                <xm:f>TODAY()+90</xm:f>
              </x14:cfvo>
              <x14:cfvo type="formula" gte="0">
                <xm:f>TODAY()+90</xm:f>
              </x14:cfvo>
              <x14:cfIcon iconSet="3Symbols" iconId="0"/>
              <x14:cfIcon iconSet="3Flags" iconId="0"/>
              <x14:cfIcon iconSet="3Symbols" iconId="2"/>
            </x14:iconSet>
          </x14:cfRule>
          <xm:sqref>N2</xm:sqref>
        </x14:conditionalFormatting>
        <x14:conditionalFormatting xmlns:xm="http://schemas.microsoft.com/office/excel/2006/main">
          <x14:cfRule type="iconSet" priority="3" id="{2985B3B7-3366-4370-A9C9-9E2B33A64B79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TODAY()+90</xm:f>
              </x14:cfvo>
              <x14:cfIcon iconSet="3Symbols" iconId="0"/>
              <x14:cfIcon iconSet="3Signs" iconId="0"/>
              <x14:cfIcon iconSet="3Symbols" iconId="2"/>
            </x14:iconSet>
          </x14:cfRule>
          <x14:cfRule type="iconSet" priority="4" id="{5E55A1BA-A226-4143-84E6-9E7DB9AB6739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</xm:f>
              </x14:cfvo>
              <x14:cfIcon iconSet="3Symbols" iconId="0"/>
              <x14:cfIcon iconSet="3Symbols" iconId="1"/>
              <x14:cfIcon iconSet="3Symbols" iconId="2"/>
            </x14:iconSet>
          </x14:cfRule>
          <x14:cfRule type="iconSet" priority="5" id="{41DF723A-C9BC-45B5-A640-CE5D9E0CD0BB}">
            <x14:iconSet custom="1">
              <x14:cfvo type="percent">
                <xm:f>0</xm:f>
              </x14:cfvo>
              <x14:cfvo type="formula">
                <xm:f>TODAY()+90</xm:f>
              </x14:cfvo>
              <x14:cfvo type="formula" gte="0">
                <xm:f>TODAY()+90</xm:f>
              </x14:cfvo>
              <x14:cfIcon iconSet="3Symbols" iconId="0"/>
              <x14:cfIcon iconSet="3Flags" iconId="0"/>
              <x14:cfIcon iconSet="3Symbols" iconId="2"/>
            </x14:iconSet>
          </x14:cfRule>
          <xm:sqref>N3</xm:sqref>
        </x14:conditionalFormatting>
        <x14:conditionalFormatting xmlns:xm="http://schemas.microsoft.com/office/excel/2006/main">
          <x14:cfRule type="iconSet" priority="17" id="{EFD90AE9-D9FC-4E67-B569-C0E11BD35A38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TODAY()+90</xm:f>
              </x14:cfvo>
              <x14:cfIcon iconSet="3Symbols" iconId="0"/>
              <x14:cfIcon iconSet="3Signs" iconId="0"/>
              <x14:cfIcon iconSet="3Symbols" iconId="2"/>
            </x14:iconSet>
          </x14:cfRule>
          <x14:cfRule type="iconSet" priority="18" id="{BC9C42C7-DA34-463B-A155-DA745F70B3EC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</xm:f>
              </x14:cfvo>
              <x14:cfIcon iconSet="3Symbols" iconId="0"/>
              <x14:cfIcon iconSet="3Symbols" iconId="1"/>
              <x14:cfIcon iconSet="3Symbols" iconId="2"/>
            </x14:iconSet>
          </x14:cfRule>
          <x14:cfRule type="iconSet" priority="19" id="{E8A8C91B-594C-4A80-8A82-93AC721E391E}">
            <x14:iconSet custom="1">
              <x14:cfvo type="percent">
                <xm:f>0</xm:f>
              </x14:cfvo>
              <x14:cfvo type="formula">
                <xm:f>TODAY()+90</xm:f>
              </x14:cfvo>
              <x14:cfvo type="formula" gte="0">
                <xm:f>TODAY()+90</xm:f>
              </x14:cfvo>
              <x14:cfIcon iconSet="3Symbols" iconId="0"/>
              <x14:cfIcon iconSet="3Flags" iconId="0"/>
              <x14:cfIcon iconSet="3Symbols" iconId="2"/>
            </x14:iconSet>
          </x14:cfRule>
          <xm:sqref>N4</xm:sqref>
        </x14:conditionalFormatting>
        <x14:conditionalFormatting xmlns:xm="http://schemas.microsoft.com/office/excel/2006/main">
          <x14:cfRule type="iconSet" priority="24" id="{B8E81480-9E40-4552-BA9D-48AB1E2312FB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TODAY()+90</xm:f>
              </x14:cfvo>
              <x14:cfIcon iconSet="3Symbols" iconId="0"/>
              <x14:cfIcon iconSet="3Signs" iconId="0"/>
              <x14:cfIcon iconSet="3Symbols" iconId="2"/>
            </x14:iconSet>
          </x14:cfRule>
          <x14:cfRule type="iconSet" priority="25" id="{1D77CEF6-5088-47D2-95C3-E0D4FAB416D3}">
            <x14:iconSet custom="1">
              <x14:cfvo type="percent">
                <xm:f>0</xm:f>
              </x14:cfvo>
              <x14:cfvo type="formula">
                <xm:f>TODAY()+14</xm:f>
              </x14:cfvo>
              <x14:cfvo type="formula" gte="0">
                <xm:f>TODAY()</xm:f>
              </x14:cfvo>
              <x14:cfIcon iconSet="3Symbols" iconId="0"/>
              <x14:cfIcon iconSet="3Symbols" iconId="1"/>
              <x14:cfIcon iconSet="3Symbols" iconId="2"/>
            </x14:iconSet>
          </x14:cfRule>
          <x14:cfRule type="iconSet" priority="26" id="{47E2E4C3-AC8F-44D1-BAD0-CA2EA004C40C}">
            <x14:iconSet custom="1">
              <x14:cfvo type="percent">
                <xm:f>0</xm:f>
              </x14:cfvo>
              <x14:cfvo type="formula">
                <xm:f>TODAY()+90</xm:f>
              </x14:cfvo>
              <x14:cfvo type="formula" gte="0">
                <xm:f>TODAY()+90</xm:f>
              </x14:cfvo>
              <x14:cfIcon iconSet="3Symbols" iconId="0"/>
              <x14:cfIcon iconSet="3Flags" iconId="0"/>
              <x14:cfIcon iconSet="3Symbols" iconId="2"/>
            </x14:iconSet>
          </x14:cfRule>
          <xm:sqref>N5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93A6619BC3143AE09144B108165BE" ma:contentTypeVersion="16" ma:contentTypeDescription="Create a new document." ma:contentTypeScope="" ma:versionID="02955c63e0e387cd432cac030d5f4966">
  <xsd:schema xmlns:xsd="http://www.w3.org/2001/XMLSchema" xmlns:xs="http://www.w3.org/2001/XMLSchema" xmlns:p="http://schemas.microsoft.com/office/2006/metadata/properties" xmlns:ns2="733b1250-96bd-4a1d-a361-0441306b3f61" xmlns:ns3="25d04ccd-6184-4595-bc8e-8a5911502b38" targetNamespace="http://schemas.microsoft.com/office/2006/metadata/properties" ma:root="true" ma:fieldsID="ac3b2baba1b26a241b9bbc7161c0db4a" ns2:_="" ns3:_="">
    <xsd:import namespace="733b1250-96bd-4a1d-a361-0441306b3f61"/>
    <xsd:import namespace="25d04ccd-6184-4595-bc8e-8a5911502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Client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b1250-96bd-4a1d-a361-0441306b3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17a5e0-c1a3-4899-b945-07c6e12f97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lientStatus" ma:index="22" nillable="true" ma:displayName="Client Status" ma:default="Break Fix Utilities" ma:description="This is a tag to sort folders based on utility to our current work period. " ma:format="Dropdown" ma:internalName="ClientStatus">
      <xsd:simpleType>
        <xsd:restriction base="dms:Choice">
          <xsd:enumeration value="GTS Utilities"/>
          <xsd:enumeration value="Weekly Client - Active"/>
          <xsd:enumeration value="Weekly Client - Idle"/>
          <xsd:enumeration value="Project Term - Active"/>
          <xsd:enumeration value="Project Term - Idle"/>
          <xsd:enumeration value="Data Archive"/>
          <xsd:enumeration value="OEM Documents"/>
          <xsd:enumeration value="Management Files"/>
          <xsd:enumeration value="Break Fix Utilities"/>
          <xsd:enumeration value="SharePoint Repos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04ccd-6184-4595-bc8e-8a5911502b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8dbc3bc-5343-495f-9ead-0f1c5a75fd5f}" ma:internalName="TaxCatchAll" ma:showField="CatchAllData" ma:web="25d04ccd-6184-4595-bc8e-8a5911502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d04ccd-6184-4595-bc8e-8a5911502b38" xsi:nil="true"/>
    <ClientStatus xmlns="733b1250-96bd-4a1d-a361-0441306b3f61">Break Fix Utilities</ClientStatus>
    <lcf76f155ced4ddcb4097134ff3c332f xmlns="733b1250-96bd-4a1d-a361-0441306b3f6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0CD7D-5451-449E-9413-091F2058ED8F}"/>
</file>

<file path=customXml/itemProps2.xml><?xml version="1.0" encoding="utf-8"?>
<ds:datastoreItem xmlns:ds="http://schemas.openxmlformats.org/officeDocument/2006/customXml" ds:itemID="{6FCC564E-3170-4933-99C7-9FC519BDB69D}"/>
</file>

<file path=customXml/itemProps3.xml><?xml version="1.0" encoding="utf-8"?>
<ds:datastoreItem xmlns:ds="http://schemas.openxmlformats.org/officeDocument/2006/customXml" ds:itemID="{3D9B6312-9A56-4705-958A-B8A2876979DB}"/>
</file>

<file path=docMetadata/LabelInfo.xml><?xml version="1.0" encoding="utf-8"?>
<clbl:labelList xmlns:clbl="http://schemas.microsoft.com/office/2020/mipLabelMetadata">
  <clbl:label id="{c473fd00-c807-47cb-a754-cc50fb1c7368}" enabled="1" method="Privileged" siteId="{1bb02657-5670-4335-b801-857d4dfe3c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Graham</dc:creator>
  <cp:keywords/>
  <dc:description/>
  <cp:lastModifiedBy>Miguel Perez</cp:lastModifiedBy>
  <cp:revision/>
  <dcterms:created xsi:type="dcterms:W3CDTF">2024-12-20T19:49:30Z</dcterms:created>
  <dcterms:modified xsi:type="dcterms:W3CDTF">2026-06-05T11:59:18Z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0x01010028993A6619BC3143AE09144B108165BE</vt:lpwstr>
  </property>
  <property fmtid="{D5CDD505-2E9C-101B-9397-08002B2CF9AE}" pid="3" name="MediaServiceImageTags">
    <vt:lpwstr/>
  </property>
</Properties>
</file>